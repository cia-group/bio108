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c02006/Documents/Teaching/bio108/data/"/>
    </mc:Choice>
  </mc:AlternateContent>
  <xr:revisionPtr revIDLastSave="0" documentId="13_ncr:1_{F2D6C81E-2890-CF4E-B10D-E48A3D45CE29}" xr6:coauthVersionLast="47" xr6:coauthVersionMax="47" xr10:uidLastSave="{00000000-0000-0000-0000-000000000000}"/>
  <bookViews>
    <workbookView xWindow="1020" yWindow="760" windowWidth="28100" windowHeight="17100" xr2:uid="{00000000-000D-0000-FFFF-FFFF00000000}"/>
  </bookViews>
  <sheets>
    <sheet name="No. of FPP per country" sheetId="17" r:id="rId1"/>
  </sheets>
  <definedNames>
    <definedName name="_xlnm._FilterDatabase" localSheetId="0" hidden="1">'No. of FPP per country'!$A$1:$M$256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6" i="17" l="1"/>
  <c r="M3" i="17" l="1"/>
  <c r="M4" i="17"/>
  <c r="M5" i="17"/>
  <c r="M6" i="17"/>
  <c r="M7" i="17"/>
  <c r="M8" i="17"/>
  <c r="M9" i="17"/>
  <c r="M10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4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4" i="17"/>
  <c r="M195" i="17"/>
  <c r="M196" i="17"/>
  <c r="M197" i="17"/>
  <c r="M198" i="17"/>
  <c r="M199" i="17"/>
  <c r="M200" i="17"/>
  <c r="M201" i="17"/>
  <c r="M202" i="17"/>
  <c r="M203" i="17"/>
  <c r="M204" i="17"/>
  <c r="M205" i="17"/>
  <c r="M206" i="17"/>
  <c r="M207" i="17"/>
  <c r="M208" i="17"/>
  <c r="M209" i="17"/>
  <c r="M210" i="17"/>
  <c r="M211" i="17"/>
  <c r="M212" i="17"/>
  <c r="M214" i="17"/>
  <c r="M215" i="17"/>
  <c r="M216" i="17"/>
  <c r="M218" i="17"/>
  <c r="M219" i="17"/>
  <c r="M220" i="17"/>
  <c r="M221" i="17"/>
  <c r="M222" i="17"/>
  <c r="M223" i="17"/>
  <c r="M224" i="17"/>
  <c r="M225" i="17"/>
  <c r="M226" i="17"/>
  <c r="M227" i="17"/>
  <c r="M228" i="17"/>
  <c r="M229" i="17"/>
  <c r="M230" i="17"/>
  <c r="M231" i="17"/>
  <c r="M232" i="17"/>
  <c r="M233" i="17"/>
  <c r="M234" i="17"/>
  <c r="M235" i="17"/>
  <c r="M236" i="17"/>
  <c r="M237" i="17"/>
  <c r="M238" i="17"/>
  <c r="M239" i="17"/>
  <c r="M240" i="17"/>
  <c r="M241" i="17"/>
  <c r="M242" i="17"/>
  <c r="M243" i="17"/>
  <c r="M244" i="17"/>
  <c r="M245" i="17"/>
  <c r="M246" i="17"/>
  <c r="M247" i="17"/>
  <c r="M248" i="17"/>
  <c r="M249" i="17"/>
  <c r="M250" i="17"/>
  <c r="M252" i="17"/>
  <c r="M253" i="17"/>
  <c r="M254" i="17"/>
  <c r="M255" i="17"/>
  <c r="M256" i="17"/>
  <c r="M2" i="17"/>
  <c r="G3" i="17"/>
  <c r="G4" i="17"/>
  <c r="G5" i="17"/>
  <c r="G6" i="17"/>
  <c r="G7" i="17"/>
  <c r="G8" i="17"/>
  <c r="G9" i="17"/>
  <c r="G10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4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202" i="17"/>
  <c r="G203" i="17"/>
  <c r="G204" i="17"/>
  <c r="G205" i="17"/>
  <c r="G206" i="17"/>
  <c r="G207" i="17"/>
  <c r="G208" i="17"/>
  <c r="G209" i="17"/>
  <c r="G210" i="17"/>
  <c r="G211" i="17"/>
  <c r="G212" i="17"/>
  <c r="G214" i="17"/>
  <c r="G215" i="17"/>
  <c r="G216" i="17"/>
  <c r="G218" i="17"/>
  <c r="G219" i="17"/>
  <c r="G220" i="17"/>
  <c r="G221" i="17"/>
  <c r="G222" i="17"/>
  <c r="G223" i="17"/>
  <c r="G224" i="17"/>
  <c r="G225" i="17"/>
  <c r="G226" i="17"/>
  <c r="G227" i="17"/>
  <c r="G228" i="17"/>
  <c r="G229" i="17"/>
  <c r="G230" i="17"/>
  <c r="G231" i="17"/>
  <c r="G232" i="17"/>
  <c r="G233" i="17"/>
  <c r="G234" i="17"/>
  <c r="G235" i="17"/>
  <c r="G236" i="17"/>
  <c r="G237" i="17"/>
  <c r="G238" i="17"/>
  <c r="G239" i="17"/>
  <c r="G240" i="17"/>
  <c r="G241" i="17"/>
  <c r="G242" i="17"/>
  <c r="G243" i="17"/>
  <c r="G244" i="17"/>
  <c r="G245" i="17"/>
  <c r="G246" i="17"/>
  <c r="G247" i="17"/>
  <c r="G248" i="17"/>
  <c r="G249" i="17"/>
  <c r="G250" i="17"/>
  <c r="G252" i="17"/>
  <c r="G253" i="17"/>
  <c r="G254" i="17"/>
  <c r="G255" i="17"/>
  <c r="G256" i="17"/>
  <c r="G2" i="17"/>
  <c r="J2" i="17"/>
  <c r="J255" i="17" l="1"/>
  <c r="J254" i="17"/>
  <c r="J253" i="17"/>
  <c r="J252" i="17"/>
  <c r="J250" i="17"/>
  <c r="J249" i="17"/>
  <c r="J248" i="17"/>
  <c r="J247" i="17"/>
  <c r="J246" i="17"/>
  <c r="J245" i="17"/>
  <c r="J244" i="17"/>
  <c r="J243" i="17"/>
  <c r="J242" i="17"/>
  <c r="J241" i="17"/>
  <c r="J240" i="17"/>
  <c r="J239" i="17"/>
  <c r="J238" i="17"/>
  <c r="J237" i="17"/>
  <c r="J236" i="17"/>
  <c r="J235" i="17"/>
  <c r="J234" i="17"/>
  <c r="J233" i="17"/>
  <c r="J232" i="17"/>
  <c r="J231" i="17"/>
  <c r="J230" i="17"/>
  <c r="J229" i="17"/>
  <c r="J228" i="17"/>
  <c r="J227" i="17"/>
  <c r="J226" i="17"/>
  <c r="J225" i="17"/>
  <c r="J224" i="17"/>
  <c r="J223" i="17"/>
  <c r="J222" i="17"/>
  <c r="J221" i="17"/>
  <c r="J220" i="17"/>
  <c r="J219" i="17"/>
  <c r="J218" i="17"/>
  <c r="J216" i="17"/>
  <c r="J215" i="17"/>
  <c r="J214" i="17"/>
  <c r="J212" i="17"/>
  <c r="J211" i="17"/>
  <c r="J210" i="17"/>
  <c r="J209" i="17"/>
  <c r="J208" i="17"/>
  <c r="J207" i="17"/>
  <c r="J206" i="17"/>
  <c r="J205" i="17"/>
  <c r="J204" i="17"/>
  <c r="J203" i="17"/>
  <c r="J202" i="17"/>
  <c r="J201" i="17"/>
  <c r="J200" i="17"/>
  <c r="J199" i="17"/>
  <c r="J198" i="17"/>
  <c r="J197" i="17"/>
  <c r="J196" i="17"/>
  <c r="J195" i="17"/>
  <c r="J194" i="17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J176" i="17"/>
  <c r="J175" i="17"/>
  <c r="J174" i="17"/>
  <c r="J173" i="17"/>
  <c r="J172" i="17"/>
  <c r="J171" i="17"/>
  <c r="J170" i="17"/>
  <c r="J169" i="17"/>
  <c r="J168" i="17"/>
  <c r="J167" i="17"/>
  <c r="J166" i="17"/>
  <c r="J165" i="17"/>
  <c r="J164" i="17"/>
  <c r="J163" i="17"/>
  <c r="J162" i="17"/>
  <c r="J161" i="17"/>
  <c r="J160" i="17"/>
  <c r="J159" i="17"/>
  <c r="J158" i="17"/>
  <c r="J157" i="17"/>
  <c r="J156" i="17"/>
  <c r="J155" i="17"/>
  <c r="J154" i="17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J137" i="17"/>
  <c r="J136" i="17"/>
  <c r="J135" i="17"/>
  <c r="J134" i="17"/>
  <c r="J133" i="17"/>
  <c r="J132" i="17"/>
  <c r="J131" i="17"/>
  <c r="J130" i="17"/>
  <c r="J129" i="17"/>
  <c r="J128" i="17"/>
  <c r="J127" i="17"/>
  <c r="J126" i="17"/>
  <c r="J125" i="17"/>
  <c r="J124" i="17"/>
  <c r="J123" i="17"/>
  <c r="J122" i="17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J105" i="17"/>
  <c r="J104" i="17"/>
  <c r="J103" i="17"/>
  <c r="J102" i="17"/>
  <c r="J100" i="17"/>
  <c r="J99" i="17"/>
  <c r="J98" i="17"/>
  <c r="J97" i="17"/>
  <c r="J96" i="17"/>
  <c r="J95" i="17"/>
  <c r="J94" i="17"/>
  <c r="J93" i="17"/>
  <c r="J92" i="17"/>
  <c r="J91" i="17"/>
  <c r="J90" i="17"/>
  <c r="J89" i="17"/>
  <c r="J88" i="17"/>
  <c r="J87" i="17"/>
  <c r="J86" i="17"/>
  <c r="J85" i="17"/>
  <c r="J84" i="17"/>
  <c r="J82" i="17"/>
  <c r="J81" i="17"/>
  <c r="J80" i="17"/>
  <c r="J79" i="17"/>
  <c r="J78" i="17"/>
  <c r="J77" i="17"/>
  <c r="J76" i="17"/>
  <c r="J75" i="17"/>
  <c r="J74" i="17"/>
  <c r="J73" i="17"/>
  <c r="J72" i="17"/>
  <c r="J71" i="17"/>
  <c r="J70" i="17"/>
  <c r="J69" i="17"/>
  <c r="J68" i="17"/>
  <c r="J67" i="17"/>
  <c r="J66" i="17"/>
  <c r="J65" i="17"/>
  <c r="J64" i="17"/>
  <c r="J63" i="17"/>
  <c r="J62" i="17"/>
  <c r="J61" i="17"/>
  <c r="J60" i="17"/>
  <c r="J59" i="17"/>
  <c r="J58" i="17"/>
  <c r="J57" i="17"/>
  <c r="J56" i="17"/>
  <c r="J55" i="17"/>
  <c r="J54" i="17"/>
  <c r="J53" i="17"/>
  <c r="J52" i="17"/>
  <c r="J50" i="17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4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0" i="17"/>
  <c r="J9" i="17"/>
  <c r="J8" i="17"/>
  <c r="J7" i="17"/>
  <c r="J6" i="17"/>
  <c r="J5" i="17"/>
  <c r="J4" i="17"/>
  <c r="J3" i="17"/>
</calcChain>
</file>

<file path=xl/sharedStrings.xml><?xml version="1.0" encoding="utf-8"?>
<sst xmlns="http://schemas.openxmlformats.org/spreadsheetml/2006/main" count="778" uniqueCount="274">
  <si>
    <t>Country</t>
  </si>
  <si>
    <t>Afghanistan</t>
  </si>
  <si>
    <t>Akrotiri and Dhekelia</t>
  </si>
  <si>
    <t>Albania</t>
  </si>
  <si>
    <t>Algeria</t>
  </si>
  <si>
    <t>Andorra</t>
  </si>
  <si>
    <t>Angola</t>
  </si>
  <si>
    <t>Anguilla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</si>
  <si>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</si>
  <si>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</si>
  <si>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</si>
  <si>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</si>
  <si>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</si>
  <si>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</si>
  <si>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</si>
  <si>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</si>
  <si>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Belarus</t>
  </si>
  <si>
    <t>Belgium</t>
  </si>
  <si>
    <t>Belize</t>
  </si>
  <si>
    <t>Benin</t>
  </si>
  <si>
    <t>Bhutan</t>
  </si>
  <si>
    <t>Bolivia</t>
  </si>
  <si>
    <t>Bonaire, Saint Eustatius and Saba</t>
  </si>
  <si>
    <t>Bosnia and Herzegovina</t>
  </si>
  <si>
    <t>Botswana</t>
  </si>
  <si>
    <t>Brazil</t>
  </si>
  <si>
    <t>British Virgin Islands</t>
  </si>
  <si>
    <t>Brunei</t>
  </si>
  <si>
    <t>Bulgaria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</si>
  <si>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</si>
  <si>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</si>
  <si>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</si>
  <si>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</si>
  <si>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</si>
  <si>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</si>
  <si>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</si>
  <si>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</si>
  <si>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</si>
  <si>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</si>
  <si>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</si>
  <si>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</si>
  <si>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</si>
  <si>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</si>
  <si>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</si>
  <si>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</si>
  <si>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</si>
  <si>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</si>
  <si>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</si>
  <si>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Dominican Republic</t>
  </si>
  <si>
    <t>Dominica</t>
  </si>
  <si>
    <t>Ecuador</t>
  </si>
  <si>
    <t>Egypt</t>
  </si>
  <si>
    <t>El Salvador</t>
  </si>
  <si>
    <t>Equatorial Guinea</t>
  </si>
  <si>
    <t>Estonia</t>
  </si>
  <si>
    <t>Ethiopia</t>
  </si>
  <si>
    <t>Falkland Islands</t>
  </si>
  <si>
    <t>Fiji</t>
  </si>
  <si>
    <t>Finland</t>
  </si>
  <si>
    <t>France</t>
  </si>
  <si>
    <t>French Guiana</t>
  </si>
  <si>
    <t>Gabon</t>
  </si>
  <si>
    <t>Gambia</t>
  </si>
  <si>
    <t>Georgia</t>
  </si>
  <si>
    <t>Germany</t>
  </si>
  <si>
    <t>Ghana</t>
  </si>
  <si>
    <t>Gibraltar</t>
  </si>
  <si>
    <t>Greece</t>
  </si>
  <si>
    <t>Grenada</t>
  </si>
  <si>
    <t>Guadeloupe</t>
  </si>
  <si>
    <t>Guatemala</t>
  </si>
  <si>
    <t>Guernsey</t>
  </si>
  <si>
    <t>Guinea-Bissau</t>
  </si>
  <si>
    <t>Guinea</t>
  </si>
  <si>
    <t>Guyana</t>
  </si>
  <si>
    <t>Haiti</t>
  </si>
  <si>
    <t>Honduras</t>
  </si>
  <si>
    <t>Hong Kong</t>
  </si>
  <si>
    <t>Hungary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</si>
  <si>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</si>
  <si>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</si>
  <si>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</si>
  <si>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</si>
  <si>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</si>
  <si>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</si>
  <si>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</si>
  <si>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</si>
  <si>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</si>
  <si>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</si>
  <si>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</si>
  <si>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</si>
  <si>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</si>
  <si>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</si>
  <si>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Kosovo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</si>
  <si>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</si>
  <si>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</si>
  <si>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</si>
  <si>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</si>
  <si>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</si>
  <si>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</si>
  <si>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</si>
  <si>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</si>
  <si>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</si>
  <si>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</si>
  <si>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</si>
  <si>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Macedonia</t>
  </si>
  <si>
    <t>Madagascar</t>
  </si>
  <si>
    <t>Malawi</t>
  </si>
  <si>
    <t>Malaysia</t>
  </si>
  <si>
    <t>Maldives</t>
  </si>
  <si>
    <t>Martinique</t>
  </si>
  <si>
    <t>Mauritius</t>
  </si>
  <si>
    <t>Mayotte</t>
  </si>
  <si>
    <t>Mexico</t>
  </si>
  <si>
    <t>Micronesia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</si>
  <si>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</si>
  <si>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</si>
  <si>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</si>
  <si>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</si>
  <si>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</si>
  <si>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</si>
  <si>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</si>
  <si>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</si>
  <si>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</si>
  <si>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</si>
  <si>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</si>
  <si>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</si>
  <si>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</si>
  <si>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Nigeria</t>
  </si>
  <si>
    <t>North Korea</t>
  </si>
  <si>
    <t>Northern Cyprus</t>
  </si>
  <si>
    <t>Norway</t>
  </si>
  <si>
    <t>Pakistan</t>
  </si>
  <si>
    <t>Palau</t>
  </si>
  <si>
    <t>Palestina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</si>
  <si>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</si>
  <si>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</si>
  <si>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</si>
  <si>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</si>
  <si>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</si>
  <si>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</si>
  <si>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</si>
  <si>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</si>
  <si>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Republic of Congo</t>
  </si>
  <si>
    <t>Reunion</t>
  </si>
  <si>
    <t>Romania</t>
  </si>
  <si>
    <t>Russia</t>
  </si>
  <si>
    <t>Rwanda</t>
  </si>
  <si>
    <t>Saint-Martin</t>
  </si>
  <si>
    <t>Saint Kitts and Nevis</t>
  </si>
  <si>
    <t>Saint Lucia</t>
  </si>
  <si>
    <t>Saint Pierre and Miquelon</t>
  </si>
  <si>
    <t>Saint Vincent and the Grenadines</t>
  </si>
  <si>
    <t>San Marino</t>
  </si>
  <si>
    <t>Sao Tome and Principe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</si>
  <si>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</si>
  <si>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</si>
  <si>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</si>
  <si>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</si>
  <si>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</si>
  <si>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</si>
  <si>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</si>
  <si>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</si>
  <si>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</si>
  <si>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</si>
  <si>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</si>
  <si>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</si>
  <si>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</si>
  <si>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</si>
  <si>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</si>
  <si>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</si>
  <si>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</si>
  <si>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</si>
  <si>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</si>
  <si>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</si>
  <si>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</si>
  <si>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</si>
  <si>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</si>
  <si>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</si>
  <si>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</si>
  <si>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East Timor</t>
  </si>
  <si>
    <t>Togo</t>
  </si>
  <si>
    <t>Trinidad and Tobago</t>
  </si>
  <si>
    <t>Tunisia</t>
  </si>
  <si>
    <t>Turkey</t>
  </si>
  <si>
    <t>Turkmenistan</t>
  </si>
  <si>
    <t>Turks and Caicos Islands</t>
  </si>
  <si>
    <t>Uganda</t>
  </si>
  <si>
    <t>Ukraine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</si>
  <si>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</si>
  <si>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</si>
  <si>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</si>
  <si>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</si>
  <si>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</si>
  <si>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</si>
  <si>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</si>
  <si>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</si>
  <si>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Zambia</t>
  </si>
  <si>
    <t>Zimbabwe</t>
  </si>
  <si>
    <t>Åland</t>
  </si>
  <si>
    <t>American Samoa</t>
  </si>
  <si>
    <t>Antarctica</t>
  </si>
  <si>
    <t>Aruba</t>
  </si>
  <si>
    <t>Bahrain</t>
  </si>
  <si>
    <t>Barbados</t>
  </si>
  <si>
    <t>Bermuda</t>
  </si>
  <si>
    <t>Bouvet Island</t>
  </si>
  <si>
    <t>British Indian Ocean Territory</t>
  </si>
  <si>
    <t>Burkina Faso</t>
  </si>
  <si>
    <t>Christmas Island</t>
  </si>
  <si>
    <t>Clipperton Island</t>
  </si>
  <si>
    <t>Cocos Islands</t>
  </si>
  <si>
    <t>Cook Islands</t>
  </si>
  <si>
    <t>Côte d'Ivoire</t>
  </si>
  <si>
    <t>Curaçao</t>
  </si>
  <si>
    <t>Djibouti</t>
  </si>
  <si>
    <t>Eritrea</t>
  </si>
  <si>
    <t>Faroe Islands</t>
  </si>
  <si>
    <t>French Polynesia</t>
  </si>
  <si>
    <t>French Southern Territories</t>
  </si>
  <si>
    <t>Greenland</t>
  </si>
  <si>
    <t>Guam</t>
  </si>
  <si>
    <t>Heard Island and McDonald Islands</t>
  </si>
  <si>
    <t>Iceland</t>
  </si>
  <si>
    <t>Kiribati</t>
  </si>
  <si>
    <t>Kuwait</t>
  </si>
  <si>
    <t>Mali</t>
  </si>
  <si>
    <t>Malta</t>
  </si>
  <si>
    <t>Marshall Islands</t>
  </si>
  <si>
    <t>Mauritania</t>
  </si>
  <si>
    <t>Monaco</t>
  </si>
  <si>
    <t>NA</t>
  </si>
  <si>
    <t>Nauru</t>
  </si>
  <si>
    <t>Niger</t>
  </si>
  <si>
    <t>Niue</t>
  </si>
  <si>
    <t>Norfolk Island</t>
  </si>
  <si>
    <t>Northern Mariana Islands</t>
  </si>
  <si>
    <t>Oman</t>
  </si>
  <si>
    <t>Paracel Islands</t>
  </si>
  <si>
    <t>Pitcairn Islands</t>
  </si>
  <si>
    <t>Qatar</t>
  </si>
  <si>
    <t>Saint-Barthélemy</t>
  </si>
  <si>
    <t>Saint Helena</t>
  </si>
  <si>
    <t>Samoa</t>
  </si>
  <si>
    <t>Saudi Arabia</t>
  </si>
  <si>
    <t>Spratly islands</t>
  </si>
  <si>
    <t>Svalbard and Jan Mayen</t>
  </si>
  <si>
    <t>Tokelau</t>
  </si>
  <si>
    <t>Tonga</t>
  </si>
  <si>
    <t>Tuvalu</t>
  </si>
  <si>
    <t>United Arab Emirates</t>
  </si>
  <si>
    <t>United States Minor Outlying Islands</t>
  </si>
  <si>
    <t>UM</t>
  </si>
  <si>
    <t>Vatican City</t>
  </si>
  <si>
    <t>Wallis and Futuna</t>
  </si>
  <si>
    <t>Western Sahara</t>
  </si>
  <si>
    <t>Yemen</t>
  </si>
  <si>
    <t>Non-tropical</t>
  </si>
  <si>
    <t>H</t>
  </si>
  <si>
    <t>Tropical</t>
  </si>
  <si>
    <t>LM</t>
  </si>
  <si>
    <t>L</t>
  </si>
  <si>
    <t>South Georgia</t>
  </si>
  <si>
    <t>WorldBankIncome</t>
  </si>
  <si>
    <t>Population2012</t>
  </si>
  <si>
    <t>FPP_1km_2000</t>
  </si>
  <si>
    <t>FPP_1km_2012</t>
  </si>
  <si>
    <t>FPP_5km_2000</t>
  </si>
  <si>
    <t>FPP_5km_2012</t>
  </si>
  <si>
    <t>FPprop_5km_2012</t>
  </si>
  <si>
    <t>FPprop_1km_2012</t>
  </si>
  <si>
    <t>FPP_10km_2000</t>
  </si>
  <si>
    <t>FPP_10km_2012</t>
  </si>
  <si>
    <t>Fpprop_10km_2012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</si>
</sst>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3" fontId="0" fillId="33" borderId="0" xfId="0" applyNumberFormat="1" applyFill="1"/>
    <xf numFmtId="2" fontId="0" fillId="33" borderId="0" xfId="0" applyNumberFormat="1" applyFill="1"/>
    <xf numFmtId="0" fontId="0" fillId="0" borderId="0" xfId="0" applyAlignment="1">
      <alignment horizontal="center" vertical="top"/>
    </xf>
    <xf numFmtId="2" fontId="0" fillId="0" borderId="0" xfId="0" applyNumberFormat="1"/>
    <xf numFmtId="4" fontId="0" fillId="33" borderId="0" xfId="0" applyNumberFormat="1" applyFill="1"/>
    <xf numFmtId="3" fontId="0" fillId="34" borderId="0" xfId="0" applyNumberFormat="1" applyFill="1"/>
    <xf numFmtId="0" fontId="0" fillId="34" borderId="0" xfId="0" applyFill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33" borderId="0" xfId="0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6"/>
  <sheetViews>
    <sheetView showGridLines="0" tabSelected="1" zoomScale="80" zoomScaleNormal="80" workbookViewId="0">
      <pane ySplit="1" topLeftCell="A2" activePane="bottomLeft" state="frozen"/>
      <selection pane="bottomLeft" activeCell="E270" sqref="E270"/>
    </sheetView>
  </sheetViews>
  <sheetFormatPr baseColWidth="10" defaultColWidth="9.1640625" defaultRowHeight="15" x14ac:dyDescent="0.2"/>
  <cols>
    <col min="1" max="1" width="38.1640625" customWidth="1"/>
    <col min="2" max="2" width="13.5" bestFit="1" customWidth="1"/>
    <col min="3" max="3" width="11.5" bestFit="1" customWidth="1"/>
    <col min="4" max="6" width="17.6640625" customWidth="1"/>
    <col min="7" max="7" width="16" customWidth="1"/>
    <col min="8" max="9" width="13.5" bestFit="1" customWidth="1"/>
    <col min="10" max="10" width="15.5" customWidth="1"/>
    <col min="11" max="12" width="14.5" customWidth="1"/>
    <col min="13" max="13" width="15" customWidth="1"/>
    <col min="14" max="14" width="17.5" customWidth="1"/>
  </cols>
  <sheetData>
    <row r="1" spans="1:13" s="5" customFormat="1" ht="19" customHeight="1" x14ac:dyDescent="0.2">
      <c r="A1" s="10" t="s">
        <v>0</v>
      </c>
      <c r="B1" s="11" t="s">
        <v>259</v>
      </c>
      <c r="C1" s="11" t="s">
        <v>263</v>
      </c>
      <c r="D1" s="11" t="s">
        <v>264</v>
      </c>
      <c r="E1" s="12" t="s">
        <v>265</v>
      </c>
      <c r="F1" s="12" t="s">
        <v>266</v>
      </c>
      <c r="G1" s="12" t="s">
        <v>270</v>
      </c>
      <c r="H1" s="11" t="s">
        <v>267</v>
      </c>
      <c r="I1" s="11" t="s">
        <v>268</v>
      </c>
      <c r="J1" s="11" t="s">
        <v>269</v>
      </c>
      <c r="K1" s="12" t="s">
        <v>271</v>
      </c>
      <c r="L1" s="12" t="s">
        <v>272</v>
      </c>
      <c r="M1" s="12" t="s">
        <v>273</v>
      </c>
    </row>
    <row r="2" spans="1:13" x14ac:dyDescent="0.2">
      <c r="A2" t="s">
        <v>1</v>
      </c>
      <c r="B2" t="s">
        <v>257</v>
      </c>
      <c r="C2" s="1" t="s">
        <v>261</v>
      </c>
      <c r="D2" s="2">
        <v>30383632</v>
      </c>
      <c r="E2" s="3">
        <v>167674</v>
      </c>
      <c r="F2" s="3">
        <v>130667</v>
      </c>
      <c r="G2" s="7">
        <f t="shared" ref="G2:G10" si="0">F2/D2</f>
        <v>4.3005720975030238E-3</v>
      </c>
      <c r="H2" s="8">
        <v>799057</v>
      </c>
      <c r="I2" s="2">
        <v>839020</v>
      </c>
      <c r="J2" s="6">
        <f t="shared" ref="J2:J10" si="1">I2/D2</f>
        <v>2.7614210177374449E-2</v>
      </c>
      <c r="K2" s="3">
        <v>1510951</v>
      </c>
      <c r="L2" s="3">
        <v>1692556</v>
      </c>
      <c r="M2" s="4">
        <f t="shared" ref="M2:M10" si="2">L2/D2</f>
        <v>5.5706177589302026E-2</v>
      </c>
    </row>
    <row r="3" spans="1:13" x14ac:dyDescent="0.2">
      <c r="A3" t="s">
        <v>2</v>
      </c>
      <c r="B3" t="s">
        <v>257</v>
      </c>
      <c r="C3" s="1" t="s">
        <v>231</v>
      </c>
      <c r="D3" s="2">
        <v>23095</v>
      </c>
      <c r="E3" s="3">
        <v>878</v>
      </c>
      <c r="F3" s="3">
        <v>1957</v>
      </c>
      <c r="G3" s="7">
        <f t="shared" si="0"/>
        <v>8.4736956051093312E-2</v>
      </c>
      <c r="H3" s="8">
        <v>2111</v>
      </c>
      <c r="I3" s="2">
        <v>4817</v>
      </c>
      <c r="J3" s="6">
        <f t="shared" si="1"/>
        <v>0.20857328426066249</v>
      </c>
      <c r="K3" s="3">
        <v>8806</v>
      </c>
      <c r="L3" s="3">
        <v>14517</v>
      </c>
      <c r="M3" s="4">
        <f t="shared" si="2"/>
        <v>0.62857761420220826</v>
      </c>
    </row>
    <row r="4" spans="1:13" x14ac:dyDescent="0.2">
      <c r="A4" t="s">
        <v>199</v>
      </c>
      <c r="B4" t="s">
        <v>257</v>
      </c>
      <c r="C4" s="1" t="s">
        <v>258</v>
      </c>
      <c r="D4" s="2">
        <v>14465</v>
      </c>
      <c r="E4" s="3">
        <v>11828</v>
      </c>
      <c r="F4" s="3">
        <v>10684</v>
      </c>
      <c r="G4" s="7">
        <f t="shared" si="0"/>
        <v>0.73861043899066714</v>
      </c>
      <c r="H4" s="8">
        <v>13085</v>
      </c>
      <c r="I4" s="2">
        <v>13428</v>
      </c>
      <c r="J4" s="6">
        <f t="shared" si="1"/>
        <v>0.92830971310058763</v>
      </c>
      <c r="K4" s="3">
        <v>13087</v>
      </c>
      <c r="L4" s="3">
        <v>13429</v>
      </c>
      <c r="M4" s="4">
        <f t="shared" si="2"/>
        <v>0.92837884548911165</v>
      </c>
    </row>
    <row r="5" spans="1:13" x14ac:dyDescent="0.2">
      <c r="A5" t="s">
        <v>3</v>
      </c>
      <c r="B5" t="s">
        <v>257</v>
      </c>
      <c r="C5" s="1" t="s">
        <v>252</v>
      </c>
      <c r="D5" s="2">
        <v>2701203</v>
      </c>
      <c r="E5" s="3">
        <v>574610</v>
      </c>
      <c r="F5" s="3">
        <v>341299</v>
      </c>
      <c r="G5" s="7">
        <f t="shared" si="0"/>
        <v>0.12635074076254171</v>
      </c>
      <c r="H5" s="8">
        <v>1755409</v>
      </c>
      <c r="I5" s="2">
        <v>1242672</v>
      </c>
      <c r="J5" s="6">
        <f t="shared" si="1"/>
        <v>0.46004391376731035</v>
      </c>
      <c r="K5" s="3">
        <v>1996083</v>
      </c>
      <c r="L5" s="3">
        <v>1442378</v>
      </c>
      <c r="M5" s="4">
        <f t="shared" si="2"/>
        <v>0.5339761580303295</v>
      </c>
    </row>
    <row r="6" spans="1:13" x14ac:dyDescent="0.2">
      <c r="A6" t="s">
        <v>4</v>
      </c>
      <c r="B6" t="s">
        <v>259</v>
      </c>
      <c r="C6" s="1" t="s">
        <v>252</v>
      </c>
      <c r="D6" s="2">
        <v>36779449</v>
      </c>
      <c r="E6" s="3">
        <v>917192</v>
      </c>
      <c r="F6" s="3">
        <v>1490624</v>
      </c>
      <c r="G6" s="7">
        <f t="shared" si="0"/>
        <v>4.0528720264406355E-2</v>
      </c>
      <c r="H6" s="8">
        <v>3266013</v>
      </c>
      <c r="I6" s="2">
        <v>5267441</v>
      </c>
      <c r="J6" s="6">
        <f t="shared" si="1"/>
        <v>0.1432169633645137</v>
      </c>
      <c r="K6" s="3">
        <v>5005483</v>
      </c>
      <c r="L6" s="3">
        <v>7560790</v>
      </c>
      <c r="M6" s="4">
        <f t="shared" si="2"/>
        <v>0.20557105137708834</v>
      </c>
    </row>
    <row r="7" spans="1:13" x14ac:dyDescent="0.2">
      <c r="A7" t="s">
        <v>200</v>
      </c>
      <c r="B7" t="s">
        <v>259</v>
      </c>
      <c r="C7" s="1" t="s">
        <v>252</v>
      </c>
      <c r="D7" s="2">
        <v>59950</v>
      </c>
      <c r="E7" s="3">
        <v>0</v>
      </c>
      <c r="F7" s="3">
        <v>0</v>
      </c>
      <c r="G7" s="7">
        <f t="shared" si="0"/>
        <v>0</v>
      </c>
      <c r="H7" s="8">
        <v>0</v>
      </c>
      <c r="I7" s="2">
        <v>0</v>
      </c>
      <c r="J7" s="6">
        <f t="shared" si="1"/>
        <v>0</v>
      </c>
      <c r="K7" s="3">
        <v>0</v>
      </c>
      <c r="L7" s="3">
        <v>0</v>
      </c>
      <c r="M7" s="4">
        <f t="shared" si="2"/>
        <v>0</v>
      </c>
    </row>
    <row r="8" spans="1:13" x14ac:dyDescent="0.2">
      <c r="A8" t="s">
        <v>5</v>
      </c>
      <c r="B8" t="s">
        <v>257</v>
      </c>
      <c r="C8" s="1" t="s">
        <v>258</v>
      </c>
      <c r="D8" s="2">
        <v>67435</v>
      </c>
      <c r="E8" s="3">
        <v>20768</v>
      </c>
      <c r="F8" s="3">
        <v>18833</v>
      </c>
      <c r="G8" s="7">
        <f t="shared" si="0"/>
        <v>0.27927634017943204</v>
      </c>
      <c r="H8" s="8">
        <v>22219</v>
      </c>
      <c r="I8" s="2">
        <v>20738</v>
      </c>
      <c r="J8" s="6">
        <f t="shared" si="1"/>
        <v>0.30752576555201305</v>
      </c>
      <c r="K8" s="3">
        <v>22219</v>
      </c>
      <c r="L8" s="3">
        <v>20738</v>
      </c>
      <c r="M8" s="4">
        <f t="shared" si="2"/>
        <v>0.30752576555201305</v>
      </c>
    </row>
    <row r="9" spans="1:13" x14ac:dyDescent="0.2">
      <c r="A9" t="s">
        <v>6</v>
      </c>
      <c r="B9" t="s">
        <v>259</v>
      </c>
      <c r="C9" s="1" t="s">
        <v>252</v>
      </c>
      <c r="D9" s="2">
        <v>21188723</v>
      </c>
      <c r="E9" s="3">
        <v>3274460</v>
      </c>
      <c r="F9" s="3">
        <v>4423240</v>
      </c>
      <c r="G9" s="7">
        <f t="shared" si="0"/>
        <v>0.2087544398027196</v>
      </c>
      <c r="H9" s="8">
        <v>5870598</v>
      </c>
      <c r="I9" s="2">
        <v>8198145</v>
      </c>
      <c r="J9" s="6">
        <f t="shared" si="1"/>
        <v>0.38691076380582257</v>
      </c>
      <c r="K9" s="3">
        <v>6948888</v>
      </c>
      <c r="L9" s="3">
        <v>9746476</v>
      </c>
      <c r="M9" s="4">
        <f t="shared" si="2"/>
        <v>0.45998411513520659</v>
      </c>
    </row>
    <row r="10" spans="1:13" x14ac:dyDescent="0.2">
      <c r="A10" t="s">
        <v>7</v>
      </c>
      <c r="B10" t="s">
        <v>259</v>
      </c>
      <c r="C10" s="1" t="s">
        <v>231</v>
      </c>
      <c r="D10" s="2">
        <v>16464</v>
      </c>
      <c r="E10" s="3">
        <v>4174</v>
      </c>
      <c r="F10" s="3">
        <v>6882</v>
      </c>
      <c r="G10" s="7">
        <f t="shared" si="0"/>
        <v>0.41800291545189505</v>
      </c>
      <c r="H10" s="8">
        <v>6544</v>
      </c>
      <c r="I10" s="2">
        <v>14650</v>
      </c>
      <c r="J10" s="6">
        <f t="shared" si="1"/>
        <v>0.88982021379980558</v>
      </c>
      <c r="K10" s="3">
        <v>6550</v>
      </c>
      <c r="L10" s="3">
        <v>14660</v>
      </c>
      <c r="M10" s="4">
        <f t="shared" si="2"/>
        <v>0.89042759961127305</v>
      </c>
    </row>
    <row r="11" spans="1:13" x14ac:dyDescent="0.2">
      <c r="A11" t="s">
        <v>201</v>
      </c>
      <c r="B11" t="s">
        <v>257</v>
      </c>
      <c r="C11" s="1" t="s">
        <v>231</v>
      </c>
      <c r="D11" s="2">
        <v>0</v>
      </c>
      <c r="E11" s="3">
        <v>0</v>
      </c>
      <c r="F11" s="3">
        <v>0</v>
      </c>
      <c r="G11" s="4">
        <v>0</v>
      </c>
      <c r="H11" s="8">
        <v>0</v>
      </c>
      <c r="I11" s="2">
        <v>0</v>
      </c>
      <c r="J11" s="6">
        <v>0</v>
      </c>
      <c r="K11" s="3">
        <v>0</v>
      </c>
      <c r="L11" s="3">
        <v>0</v>
      </c>
      <c r="M11" s="4">
        <v>0</v>
      </c>
    </row>
    <row r="12" spans="1:13" x14ac:dyDescent="0.2">
      <c r="A12" t="s">
        <v>8</v>
      </c>
      <c r="B12" t="s">
        <v>259</v>
      </c>
      <c r="C12" s="1" t="s">
        <v>258</v>
      </c>
      <c r="D12" s="2">
        <v>84448</v>
      </c>
      <c r="E12" s="3">
        <v>22216</v>
      </c>
      <c r="F12" s="3">
        <v>29738</v>
      </c>
      <c r="G12" s="7">
        <f t="shared" ref="G12:G32" si="3">F12/D12</f>
        <v>0.35214569912845772</v>
      </c>
      <c r="H12" s="8">
        <v>45602</v>
      </c>
      <c r="I12" s="2">
        <v>54602</v>
      </c>
      <c r="J12" s="6">
        <f t="shared" ref="J12:J32" si="4">I12/D12</f>
        <v>0.64657540735126939</v>
      </c>
      <c r="K12" s="3">
        <v>45602</v>
      </c>
      <c r="L12" s="3">
        <v>54602</v>
      </c>
      <c r="M12" s="4">
        <f t="shared" ref="M12:M32" si="5">L12/D12</f>
        <v>0.64657540735126939</v>
      </c>
    </row>
    <row r="13" spans="1:13" x14ac:dyDescent="0.2">
      <c r="A13" t="s">
        <v>9</v>
      </c>
      <c r="B13" t="s">
        <v>257</v>
      </c>
      <c r="C13" s="1" t="s">
        <v>252</v>
      </c>
      <c r="D13" s="2">
        <v>42626329</v>
      </c>
      <c r="E13" s="3">
        <v>2889703</v>
      </c>
      <c r="F13" s="3">
        <v>2671590</v>
      </c>
      <c r="G13" s="7">
        <f t="shared" si="3"/>
        <v>6.2674644114908418E-2</v>
      </c>
      <c r="H13" s="8">
        <v>8778723</v>
      </c>
      <c r="I13" s="2">
        <v>8451173</v>
      </c>
      <c r="J13" s="6">
        <f t="shared" si="4"/>
        <v>0.1982618066875991</v>
      </c>
      <c r="K13" s="3">
        <v>11693525</v>
      </c>
      <c r="L13" s="3">
        <v>11071577</v>
      </c>
      <c r="M13" s="4">
        <f t="shared" si="5"/>
        <v>0.2597356436675558</v>
      </c>
    </row>
    <row r="14" spans="1:13" x14ac:dyDescent="0.2">
      <c r="A14" t="s">
        <v>10</v>
      </c>
      <c r="B14" t="s">
        <v>257</v>
      </c>
      <c r="C14" s="1" t="s">
        <v>260</v>
      </c>
      <c r="D14" s="2">
        <v>2777177</v>
      </c>
      <c r="E14" s="3">
        <v>47124</v>
      </c>
      <c r="F14" s="3">
        <v>131326</v>
      </c>
      <c r="G14" s="7">
        <f t="shared" si="3"/>
        <v>4.728758735939409E-2</v>
      </c>
      <c r="H14" s="8">
        <v>200211</v>
      </c>
      <c r="I14" s="2">
        <v>455242</v>
      </c>
      <c r="J14" s="6">
        <f t="shared" si="4"/>
        <v>0.16392257317412609</v>
      </c>
      <c r="K14" s="3">
        <v>342103</v>
      </c>
      <c r="L14" s="3">
        <v>730673</v>
      </c>
      <c r="M14" s="4">
        <f t="shared" si="5"/>
        <v>0.26309918309131897</v>
      </c>
    </row>
    <row r="15" spans="1:13" x14ac:dyDescent="0.2">
      <c r="A15" t="s">
        <v>202</v>
      </c>
      <c r="B15" t="s">
        <v>259</v>
      </c>
      <c r="C15" s="1" t="s">
        <v>258</v>
      </c>
      <c r="D15" s="2">
        <v>135779</v>
      </c>
      <c r="E15" s="3">
        <v>0</v>
      </c>
      <c r="F15" s="3">
        <v>0</v>
      </c>
      <c r="G15" s="7">
        <f t="shared" si="3"/>
        <v>0</v>
      </c>
      <c r="H15" s="8">
        <v>0</v>
      </c>
      <c r="I15" s="2">
        <v>0</v>
      </c>
      <c r="J15" s="6">
        <f t="shared" si="4"/>
        <v>0</v>
      </c>
      <c r="K15" s="3">
        <v>0</v>
      </c>
      <c r="L15" s="3">
        <v>0</v>
      </c>
      <c r="M15" s="4">
        <f t="shared" si="5"/>
        <v>0</v>
      </c>
    </row>
    <row r="16" spans="1:13" x14ac:dyDescent="0.2">
      <c r="A16" t="s">
        <v>11</v>
      </c>
      <c r="B16" t="s">
        <v>259</v>
      </c>
      <c r="C16" s="1" t="s">
        <v>258</v>
      </c>
      <c r="D16" s="2">
        <v>21981854</v>
      </c>
      <c r="E16" s="3">
        <v>1041961</v>
      </c>
      <c r="F16" s="3">
        <v>2800073</v>
      </c>
      <c r="G16" s="7">
        <f t="shared" si="3"/>
        <v>0.12738111171150532</v>
      </c>
      <c r="H16" s="8">
        <v>4193539</v>
      </c>
      <c r="I16" s="2">
        <v>8663989</v>
      </c>
      <c r="J16" s="6">
        <f t="shared" si="4"/>
        <v>0.39414277794766539</v>
      </c>
      <c r="K16" s="3">
        <v>5936347</v>
      </c>
      <c r="L16" s="3">
        <v>10773414</v>
      </c>
      <c r="M16" s="4">
        <f t="shared" si="5"/>
        <v>0.49010488378277828</v>
      </c>
    </row>
    <row r="17" spans="1:13" x14ac:dyDescent="0.2">
      <c r="A17" t="s">
        <v>12</v>
      </c>
      <c r="B17" t="s">
        <v>257</v>
      </c>
      <c r="C17" s="1" t="s">
        <v>258</v>
      </c>
      <c r="D17" s="2">
        <v>6621318</v>
      </c>
      <c r="E17" s="3">
        <v>2042211</v>
      </c>
      <c r="F17" s="3">
        <v>2543007</v>
      </c>
      <c r="G17" s="7">
        <f t="shared" si="3"/>
        <v>0.38406356559222804</v>
      </c>
      <c r="H17" s="8">
        <v>3003634</v>
      </c>
      <c r="I17" s="2">
        <v>3842880</v>
      </c>
      <c r="J17" s="6">
        <f t="shared" si="4"/>
        <v>0.5803799183183771</v>
      </c>
      <c r="K17" s="3">
        <v>3019668</v>
      </c>
      <c r="L17" s="3">
        <v>3853565</v>
      </c>
      <c r="M17" s="4">
        <f t="shared" si="5"/>
        <v>0.58199364537392706</v>
      </c>
    </row>
    <row r="18" spans="1:13" x14ac:dyDescent="0.2">
      <c r="A18" t="s">
        <v>13</v>
      </c>
      <c r="B18" t="s">
        <v>257</v>
      </c>
      <c r="C18" s="1" t="s">
        <v>252</v>
      </c>
      <c r="D18" s="2">
        <v>8741091</v>
      </c>
      <c r="E18" s="3">
        <v>373746</v>
      </c>
      <c r="F18" s="3">
        <v>791307</v>
      </c>
      <c r="G18" s="7">
        <f t="shared" si="3"/>
        <v>9.0527257981869766E-2</v>
      </c>
      <c r="H18" s="8">
        <v>1291742</v>
      </c>
      <c r="I18" s="2">
        <v>2544208</v>
      </c>
      <c r="J18" s="6">
        <f t="shared" si="4"/>
        <v>0.29106298058217217</v>
      </c>
      <c r="K18" s="3">
        <v>1859110</v>
      </c>
      <c r="L18" s="3">
        <v>3603488</v>
      </c>
      <c r="M18" s="4">
        <f t="shared" si="5"/>
        <v>0.41224693805384249</v>
      </c>
    </row>
    <row r="19" spans="1:13" x14ac:dyDescent="0.2">
      <c r="A19" t="s">
        <v>14</v>
      </c>
      <c r="B19" t="s">
        <v>259</v>
      </c>
      <c r="C19" s="1" t="s">
        <v>258</v>
      </c>
      <c r="D19" s="2">
        <v>337737</v>
      </c>
      <c r="E19" s="3">
        <v>75575</v>
      </c>
      <c r="F19" s="3">
        <v>65673</v>
      </c>
      <c r="G19" s="7">
        <f t="shared" si="3"/>
        <v>0.19445011947165991</v>
      </c>
      <c r="H19" s="8">
        <v>136806</v>
      </c>
      <c r="I19" s="2">
        <v>134097</v>
      </c>
      <c r="J19" s="6">
        <f t="shared" si="4"/>
        <v>0.39704563017969602</v>
      </c>
      <c r="K19" s="3">
        <v>138317</v>
      </c>
      <c r="L19" s="3">
        <v>135905</v>
      </c>
      <c r="M19" s="4">
        <f t="shared" si="5"/>
        <v>0.40239890802606765</v>
      </c>
    </row>
    <row r="20" spans="1:13" x14ac:dyDescent="0.2">
      <c r="A20" t="s">
        <v>203</v>
      </c>
      <c r="B20" t="s">
        <v>257</v>
      </c>
      <c r="C20" s="1" t="s">
        <v>258</v>
      </c>
      <c r="D20" s="2">
        <v>1333799</v>
      </c>
      <c r="E20" s="3">
        <v>0</v>
      </c>
      <c r="F20" s="3">
        <v>0</v>
      </c>
      <c r="G20" s="7">
        <f t="shared" si="3"/>
        <v>0</v>
      </c>
      <c r="H20" s="8">
        <v>0</v>
      </c>
      <c r="I20" s="2">
        <v>0</v>
      </c>
      <c r="J20" s="6">
        <f t="shared" si="4"/>
        <v>0</v>
      </c>
      <c r="K20" s="3">
        <v>0</v>
      </c>
      <c r="L20" s="3">
        <v>0</v>
      </c>
      <c r="M20" s="4">
        <f t="shared" si="5"/>
        <v>0</v>
      </c>
    </row>
    <row r="21" spans="1:13" x14ac:dyDescent="0.2">
      <c r="A21" t="s">
        <v>15</v>
      </c>
      <c r="B21" t="s">
        <v>259</v>
      </c>
      <c r="C21" s="1" t="s">
        <v>261</v>
      </c>
      <c r="D21" s="2">
        <v>178051959</v>
      </c>
      <c r="E21" s="3">
        <v>2416963</v>
      </c>
      <c r="F21" s="3">
        <v>5437251</v>
      </c>
      <c r="G21" s="7">
        <f t="shared" si="3"/>
        <v>3.0537439916625685E-2</v>
      </c>
      <c r="H21" s="8">
        <v>11547708</v>
      </c>
      <c r="I21" s="2">
        <v>25630538</v>
      </c>
      <c r="J21" s="6">
        <f t="shared" si="4"/>
        <v>0.14394976693292097</v>
      </c>
      <c r="K21" s="3">
        <v>19907998</v>
      </c>
      <c r="L21" s="3">
        <v>42693695</v>
      </c>
      <c r="M21" s="4">
        <f t="shared" si="5"/>
        <v>0.23978222559180043</v>
      </c>
    </row>
    <row r="22" spans="1:13" x14ac:dyDescent="0.2">
      <c r="A22" t="s">
        <v>204</v>
      </c>
      <c r="B22" t="s">
        <v>259</v>
      </c>
      <c r="C22" s="1" t="s">
        <v>258</v>
      </c>
      <c r="D22" s="2">
        <v>323235</v>
      </c>
      <c r="E22" s="3">
        <v>0</v>
      </c>
      <c r="F22" s="3">
        <v>0</v>
      </c>
      <c r="G22" s="7">
        <f t="shared" si="3"/>
        <v>0</v>
      </c>
      <c r="H22" s="8">
        <v>0</v>
      </c>
      <c r="I22" s="2">
        <v>0</v>
      </c>
      <c r="J22" s="6">
        <f t="shared" si="4"/>
        <v>0</v>
      </c>
      <c r="K22" s="3">
        <v>0</v>
      </c>
      <c r="L22" s="3">
        <v>0</v>
      </c>
      <c r="M22" s="4">
        <f t="shared" si="5"/>
        <v>0</v>
      </c>
    </row>
    <row r="23" spans="1:13" x14ac:dyDescent="0.2">
      <c r="A23" t="s">
        <v>16</v>
      </c>
      <c r="B23" t="s">
        <v>257</v>
      </c>
      <c r="C23" s="1" t="s">
        <v>252</v>
      </c>
      <c r="D23" s="2">
        <v>6988027</v>
      </c>
      <c r="E23" s="3">
        <v>1588957</v>
      </c>
      <c r="F23" s="3">
        <v>1390962</v>
      </c>
      <c r="G23" s="7">
        <f t="shared" si="3"/>
        <v>0.19904931678140339</v>
      </c>
      <c r="H23" s="8">
        <v>2676584</v>
      </c>
      <c r="I23" s="2">
        <v>2807152</v>
      </c>
      <c r="J23" s="6">
        <f t="shared" si="4"/>
        <v>0.40170880850918295</v>
      </c>
      <c r="K23" s="3">
        <v>2695742</v>
      </c>
      <c r="L23" s="3">
        <v>2826132</v>
      </c>
      <c r="M23" s="4">
        <f t="shared" si="5"/>
        <v>0.40442488273156357</v>
      </c>
    </row>
    <row r="24" spans="1:13" x14ac:dyDescent="0.2">
      <c r="A24" t="s">
        <v>17</v>
      </c>
      <c r="B24" t="s">
        <v>257</v>
      </c>
      <c r="C24" s="1" t="s">
        <v>258</v>
      </c>
      <c r="D24" s="2">
        <v>7938219</v>
      </c>
      <c r="E24" s="3">
        <v>1749364</v>
      </c>
      <c r="F24" s="3">
        <v>2385775</v>
      </c>
      <c r="G24" s="7">
        <f t="shared" si="3"/>
        <v>0.30054285476377007</v>
      </c>
      <c r="H24" s="8">
        <v>3774425</v>
      </c>
      <c r="I24" s="2">
        <v>5110749</v>
      </c>
      <c r="J24" s="6">
        <f t="shared" si="4"/>
        <v>0.64381557122573718</v>
      </c>
      <c r="K24" s="3">
        <v>3867654</v>
      </c>
      <c r="L24" s="3">
        <v>5230556</v>
      </c>
      <c r="M24" s="4">
        <f t="shared" si="5"/>
        <v>0.65890799938877975</v>
      </c>
    </row>
    <row r="25" spans="1:13" x14ac:dyDescent="0.2">
      <c r="A25" t="s">
        <v>18</v>
      </c>
      <c r="B25" t="s">
        <v>259</v>
      </c>
      <c r="C25" s="1" t="s">
        <v>252</v>
      </c>
      <c r="D25" s="2">
        <v>358048</v>
      </c>
      <c r="E25" s="3">
        <v>181135</v>
      </c>
      <c r="F25" s="3">
        <v>149005</v>
      </c>
      <c r="G25" s="7">
        <f t="shared" si="3"/>
        <v>0.41615928590580031</v>
      </c>
      <c r="H25" s="8">
        <v>208056</v>
      </c>
      <c r="I25" s="2">
        <v>201285</v>
      </c>
      <c r="J25" s="6">
        <f t="shared" si="4"/>
        <v>0.56217322817052462</v>
      </c>
      <c r="K25" s="3">
        <v>208090</v>
      </c>
      <c r="L25" s="3">
        <v>201460</v>
      </c>
      <c r="M25" s="4">
        <f t="shared" si="5"/>
        <v>0.56266198945392798</v>
      </c>
    </row>
    <row r="26" spans="1:13" x14ac:dyDescent="0.2">
      <c r="A26" t="s">
        <v>19</v>
      </c>
      <c r="B26" t="s">
        <v>259</v>
      </c>
      <c r="C26" s="1" t="s">
        <v>261</v>
      </c>
      <c r="D26" s="2">
        <v>11295326</v>
      </c>
      <c r="E26" s="3">
        <v>31534</v>
      </c>
      <c r="F26" s="3">
        <v>87636</v>
      </c>
      <c r="G26" s="7">
        <f t="shared" si="3"/>
        <v>7.7586074098259759E-3</v>
      </c>
      <c r="H26" s="8">
        <v>467112</v>
      </c>
      <c r="I26" s="2">
        <v>942304</v>
      </c>
      <c r="J26" s="6">
        <f t="shared" si="4"/>
        <v>8.3424241141867E-2</v>
      </c>
      <c r="K26" s="3">
        <v>1318937</v>
      </c>
      <c r="L26" s="3">
        <v>2024113</v>
      </c>
      <c r="M26" s="4">
        <f t="shared" si="5"/>
        <v>0.17919916609755221</v>
      </c>
    </row>
    <row r="27" spans="1:13" x14ac:dyDescent="0.2">
      <c r="A27" t="s">
        <v>205</v>
      </c>
      <c r="B27" t="s">
        <v>259</v>
      </c>
      <c r="C27" s="1" t="s">
        <v>258</v>
      </c>
      <c r="D27" s="2">
        <v>56436</v>
      </c>
      <c r="E27" s="3">
        <v>0</v>
      </c>
      <c r="F27" s="3">
        <v>0</v>
      </c>
      <c r="G27" s="7">
        <f t="shared" si="3"/>
        <v>0</v>
      </c>
      <c r="H27" s="8">
        <v>0</v>
      </c>
      <c r="I27" s="2">
        <v>0</v>
      </c>
      <c r="J27" s="6">
        <f t="shared" si="4"/>
        <v>0</v>
      </c>
      <c r="K27" s="3">
        <v>0</v>
      </c>
      <c r="L27" s="3">
        <v>0</v>
      </c>
      <c r="M27" s="4">
        <f t="shared" si="5"/>
        <v>0</v>
      </c>
    </row>
    <row r="28" spans="1:13" x14ac:dyDescent="0.2">
      <c r="A28" t="s">
        <v>20</v>
      </c>
      <c r="B28" t="s">
        <v>257</v>
      </c>
      <c r="C28" s="1" t="s">
        <v>260</v>
      </c>
      <c r="D28" s="2">
        <v>774542</v>
      </c>
      <c r="E28" s="3">
        <v>1208761</v>
      </c>
      <c r="F28" s="3">
        <v>512443</v>
      </c>
      <c r="G28" s="7">
        <f t="shared" si="3"/>
        <v>0.66160776303931867</v>
      </c>
      <c r="H28" s="8">
        <v>1380740</v>
      </c>
      <c r="I28" s="2">
        <v>584731</v>
      </c>
      <c r="J28" s="6">
        <f t="shared" si="4"/>
        <v>0.75493775676464281</v>
      </c>
      <c r="K28" s="3">
        <v>1393229</v>
      </c>
      <c r="L28" s="3">
        <v>585332</v>
      </c>
      <c r="M28" s="4">
        <f t="shared" si="5"/>
        <v>0.75571369919255504</v>
      </c>
    </row>
    <row r="29" spans="1:13" x14ac:dyDescent="0.2">
      <c r="A29" t="s">
        <v>21</v>
      </c>
      <c r="B29" t="s">
        <v>259</v>
      </c>
      <c r="C29" s="1" t="s">
        <v>260</v>
      </c>
      <c r="D29" s="2">
        <v>11848829</v>
      </c>
      <c r="E29" s="3">
        <v>1952535</v>
      </c>
      <c r="F29" s="3">
        <v>1361906</v>
      </c>
      <c r="G29" s="7">
        <f t="shared" si="3"/>
        <v>0.11494013459051523</v>
      </c>
      <c r="H29" s="8">
        <v>2804008</v>
      </c>
      <c r="I29" s="2">
        <v>2526809</v>
      </c>
      <c r="J29" s="6">
        <f t="shared" si="4"/>
        <v>0.21325390044872788</v>
      </c>
      <c r="K29" s="3">
        <v>3079710</v>
      </c>
      <c r="L29" s="3">
        <v>3022515</v>
      </c>
      <c r="M29" s="4">
        <f t="shared" si="5"/>
        <v>0.2550897645666082</v>
      </c>
    </row>
    <row r="30" spans="1:13" x14ac:dyDescent="0.2">
      <c r="A30" t="s">
        <v>22</v>
      </c>
      <c r="B30" t="s">
        <v>257</v>
      </c>
      <c r="C30" s="1" t="s">
        <v>231</v>
      </c>
      <c r="D30" s="2">
        <v>24760</v>
      </c>
      <c r="E30" s="3">
        <v>1556</v>
      </c>
      <c r="F30" s="3">
        <v>5573</v>
      </c>
      <c r="G30" s="7">
        <f t="shared" si="3"/>
        <v>0.22508077544426494</v>
      </c>
      <c r="H30" s="8">
        <v>2991</v>
      </c>
      <c r="I30" s="2">
        <v>9680</v>
      </c>
      <c r="J30" s="6">
        <f t="shared" si="4"/>
        <v>0.39095315024232635</v>
      </c>
      <c r="K30" s="3">
        <v>6426</v>
      </c>
      <c r="L30" s="3">
        <v>21280</v>
      </c>
      <c r="M30" s="4">
        <f t="shared" si="5"/>
        <v>0.85945072697899838</v>
      </c>
    </row>
    <row r="31" spans="1:13" x14ac:dyDescent="0.2">
      <c r="A31" t="s">
        <v>23</v>
      </c>
      <c r="B31" t="s">
        <v>257</v>
      </c>
      <c r="C31" s="1" t="s">
        <v>252</v>
      </c>
      <c r="D31" s="2">
        <v>3375032</v>
      </c>
      <c r="E31" s="3">
        <v>1020501</v>
      </c>
      <c r="F31" s="3">
        <v>1296673</v>
      </c>
      <c r="G31" s="7">
        <f t="shared" si="3"/>
        <v>0.38419576466237948</v>
      </c>
      <c r="H31" s="8">
        <v>1758624</v>
      </c>
      <c r="I31" s="2">
        <v>2054994</v>
      </c>
      <c r="J31" s="6">
        <f t="shared" si="4"/>
        <v>0.60888133801398037</v>
      </c>
      <c r="K31" s="3">
        <v>1773342</v>
      </c>
      <c r="L31" s="3">
        <v>2063857</v>
      </c>
      <c r="M31" s="4">
        <f t="shared" si="5"/>
        <v>0.61150738718921771</v>
      </c>
    </row>
    <row r="32" spans="1:13" x14ac:dyDescent="0.2">
      <c r="A32" t="s">
        <v>24</v>
      </c>
      <c r="B32" t="s">
        <v>259</v>
      </c>
      <c r="C32" s="1" t="s">
        <v>252</v>
      </c>
      <c r="D32" s="2">
        <v>2396680</v>
      </c>
      <c r="E32" s="3">
        <v>44</v>
      </c>
      <c r="F32" s="3">
        <v>4</v>
      </c>
      <c r="G32" s="7">
        <f t="shared" si="3"/>
        <v>1.6689754159921224E-6</v>
      </c>
      <c r="H32" s="8">
        <v>1134</v>
      </c>
      <c r="I32" s="2">
        <v>567</v>
      </c>
      <c r="J32" s="6">
        <f t="shared" si="4"/>
        <v>2.3657726521688336E-4</v>
      </c>
      <c r="K32" s="3">
        <v>4753</v>
      </c>
      <c r="L32" s="3">
        <v>6311</v>
      </c>
      <c r="M32" s="4">
        <f t="shared" si="5"/>
        <v>2.6332259625815712E-3</v>
      </c>
    </row>
    <row r="33" spans="1:13" x14ac:dyDescent="0.2">
      <c r="A33" t="s">
        <v>206</v>
      </c>
      <c r="B33" t="s">
        <v>257</v>
      </c>
      <c r="C33" s="1" t="s">
        <v>231</v>
      </c>
      <c r="D33" s="2">
        <v>0</v>
      </c>
      <c r="E33" s="3">
        <v>0</v>
      </c>
      <c r="F33" s="3">
        <v>0</v>
      </c>
      <c r="G33" s="4">
        <v>0</v>
      </c>
      <c r="H33" s="8">
        <v>0</v>
      </c>
      <c r="I33" s="2">
        <v>0</v>
      </c>
      <c r="J33" s="6">
        <v>0</v>
      </c>
      <c r="K33" s="3">
        <v>0</v>
      </c>
      <c r="L33" s="3">
        <v>0</v>
      </c>
      <c r="M33" s="4">
        <v>0</v>
      </c>
    </row>
    <row r="34" spans="1:13" x14ac:dyDescent="0.2">
      <c r="A34" t="s">
        <v>25</v>
      </c>
      <c r="B34" t="s">
        <v>259</v>
      </c>
      <c r="C34" s="1" t="s">
        <v>252</v>
      </c>
      <c r="D34" s="2">
        <v>226976651</v>
      </c>
      <c r="E34" s="3">
        <v>47735632</v>
      </c>
      <c r="F34" s="3">
        <v>30802834</v>
      </c>
      <c r="G34" s="7">
        <f>F34/D34</f>
        <v>0.13570926288801397</v>
      </c>
      <c r="H34" s="8">
        <v>88574353</v>
      </c>
      <c r="I34" s="2">
        <v>54665239</v>
      </c>
      <c r="J34" s="6">
        <f>I34/D34</f>
        <v>0.24084080348863726</v>
      </c>
      <c r="K34" s="3">
        <v>92915283</v>
      </c>
      <c r="L34" s="3">
        <v>56847450</v>
      </c>
      <c r="M34" s="4">
        <f>L34/D34</f>
        <v>0.25045505671858731</v>
      </c>
    </row>
    <row r="35" spans="1:13" x14ac:dyDescent="0.2">
      <c r="A35" t="s">
        <v>207</v>
      </c>
      <c r="B35" t="s">
        <v>259</v>
      </c>
      <c r="C35" s="1" t="s">
        <v>231</v>
      </c>
      <c r="D35" s="2">
        <v>0</v>
      </c>
      <c r="E35" s="3">
        <v>0</v>
      </c>
      <c r="F35" s="3">
        <v>0</v>
      </c>
      <c r="G35" s="4">
        <v>0</v>
      </c>
      <c r="H35" s="8">
        <v>0</v>
      </c>
      <c r="I35" s="2">
        <v>0</v>
      </c>
      <c r="J35" s="6">
        <v>0</v>
      </c>
      <c r="K35" s="3">
        <v>0</v>
      </c>
      <c r="L35" s="3">
        <v>0</v>
      </c>
      <c r="M35" s="4">
        <v>0</v>
      </c>
    </row>
    <row r="36" spans="1:13" x14ac:dyDescent="0.2">
      <c r="A36" t="s">
        <v>26</v>
      </c>
      <c r="B36" t="s">
        <v>259</v>
      </c>
      <c r="C36" s="1" t="s">
        <v>231</v>
      </c>
      <c r="D36" s="2">
        <v>31398</v>
      </c>
      <c r="E36" s="3">
        <v>10136</v>
      </c>
      <c r="F36" s="3">
        <v>11061</v>
      </c>
      <c r="G36" s="7">
        <f t="shared" ref="G36:G50" si="6">F36/D36</f>
        <v>0.35228358494171602</v>
      </c>
      <c r="H36" s="8">
        <v>14483</v>
      </c>
      <c r="I36" s="2">
        <v>15830</v>
      </c>
      <c r="J36" s="6">
        <f t="shared" ref="J36:J50" si="7">I36/D36</f>
        <v>0.5041722402700809</v>
      </c>
      <c r="K36" s="3">
        <v>14866</v>
      </c>
      <c r="L36" s="3">
        <v>15890</v>
      </c>
      <c r="M36" s="4">
        <f t="shared" ref="M36:M50" si="8">L36/D36</f>
        <v>0.50608319001210267</v>
      </c>
    </row>
    <row r="37" spans="1:13" x14ac:dyDescent="0.2">
      <c r="A37" t="s">
        <v>27</v>
      </c>
      <c r="B37" t="s">
        <v>259</v>
      </c>
      <c r="C37" s="1" t="s">
        <v>258</v>
      </c>
      <c r="D37" s="2">
        <v>501250</v>
      </c>
      <c r="E37" s="3">
        <v>186871</v>
      </c>
      <c r="F37" s="3">
        <v>152287</v>
      </c>
      <c r="G37" s="7">
        <f t="shared" si="6"/>
        <v>0.30381446384039901</v>
      </c>
      <c r="H37" s="8">
        <v>217479</v>
      </c>
      <c r="I37" s="2">
        <v>192323</v>
      </c>
      <c r="J37" s="6">
        <f t="shared" si="7"/>
        <v>0.38368678304239401</v>
      </c>
      <c r="K37" s="3">
        <v>217479</v>
      </c>
      <c r="L37" s="3">
        <v>192323</v>
      </c>
      <c r="M37" s="4">
        <f t="shared" si="8"/>
        <v>0.38368678304239401</v>
      </c>
    </row>
    <row r="38" spans="1:13" x14ac:dyDescent="0.2">
      <c r="A38" t="s">
        <v>28</v>
      </c>
      <c r="B38" t="s">
        <v>257</v>
      </c>
      <c r="C38" s="1" t="s">
        <v>252</v>
      </c>
      <c r="D38" s="2">
        <v>6171295</v>
      </c>
      <c r="E38" s="3">
        <v>892238</v>
      </c>
      <c r="F38" s="3">
        <v>965684</v>
      </c>
      <c r="G38" s="7">
        <f t="shared" si="6"/>
        <v>0.15647996085100452</v>
      </c>
      <c r="H38" s="8">
        <v>2454306</v>
      </c>
      <c r="I38" s="2">
        <v>2619352</v>
      </c>
      <c r="J38" s="6">
        <f t="shared" si="7"/>
        <v>0.42444122343851654</v>
      </c>
      <c r="K38" s="3">
        <v>2704405</v>
      </c>
      <c r="L38" s="3">
        <v>2838269</v>
      </c>
      <c r="M38" s="4">
        <f t="shared" si="8"/>
        <v>0.45991465324538855</v>
      </c>
    </row>
    <row r="39" spans="1:13" x14ac:dyDescent="0.2">
      <c r="A39" t="s">
        <v>208</v>
      </c>
      <c r="B39" t="s">
        <v>259</v>
      </c>
      <c r="C39" s="1" t="s">
        <v>261</v>
      </c>
      <c r="D39" s="2">
        <v>20464882</v>
      </c>
      <c r="E39" s="3">
        <v>0</v>
      </c>
      <c r="F39" s="3">
        <v>0</v>
      </c>
      <c r="G39" s="7">
        <f t="shared" si="6"/>
        <v>0</v>
      </c>
      <c r="H39" s="8">
        <v>0</v>
      </c>
      <c r="I39" s="2">
        <v>0</v>
      </c>
      <c r="J39" s="6">
        <f t="shared" si="7"/>
        <v>0</v>
      </c>
      <c r="K39" s="3">
        <v>0</v>
      </c>
      <c r="L39" s="3">
        <v>0</v>
      </c>
      <c r="M39" s="4">
        <f t="shared" si="8"/>
        <v>0</v>
      </c>
    </row>
    <row r="40" spans="1:13" x14ac:dyDescent="0.2">
      <c r="A40" t="s">
        <v>29</v>
      </c>
      <c r="B40" t="s">
        <v>259</v>
      </c>
      <c r="C40" s="1" t="s">
        <v>261</v>
      </c>
      <c r="D40" s="2">
        <v>12660844</v>
      </c>
      <c r="E40" s="3">
        <v>598488</v>
      </c>
      <c r="F40" s="3">
        <v>892679</v>
      </c>
      <c r="G40" s="7">
        <f t="shared" si="6"/>
        <v>7.0507068881031948E-2</v>
      </c>
      <c r="H40" s="8">
        <v>1795403</v>
      </c>
      <c r="I40" s="2">
        <v>2974607</v>
      </c>
      <c r="J40" s="6">
        <f t="shared" si="7"/>
        <v>0.23494539542545506</v>
      </c>
      <c r="K40" s="3">
        <v>3254015</v>
      </c>
      <c r="L40" s="3">
        <v>5313200</v>
      </c>
      <c r="M40" s="4">
        <f t="shared" si="8"/>
        <v>0.41965606716266307</v>
      </c>
    </row>
    <row r="41" spans="1:13" x14ac:dyDescent="0.2">
      <c r="A41" t="s">
        <v>30</v>
      </c>
      <c r="B41" t="s">
        <v>259</v>
      </c>
      <c r="C41" s="1" t="s">
        <v>261</v>
      </c>
      <c r="D41" s="2">
        <v>17597994</v>
      </c>
      <c r="E41" s="3">
        <v>2035330</v>
      </c>
      <c r="F41" s="3">
        <v>1321013</v>
      </c>
      <c r="G41" s="7">
        <f t="shared" si="6"/>
        <v>7.506611264897578E-2</v>
      </c>
      <c r="H41" s="8">
        <v>5569641</v>
      </c>
      <c r="I41" s="2">
        <v>5087109</v>
      </c>
      <c r="J41" s="6">
        <f t="shared" si="7"/>
        <v>0.28907323186949602</v>
      </c>
      <c r="K41" s="3">
        <v>7895654</v>
      </c>
      <c r="L41" s="3">
        <v>7522027</v>
      </c>
      <c r="M41" s="4">
        <f t="shared" si="8"/>
        <v>0.42743661578700393</v>
      </c>
    </row>
    <row r="42" spans="1:13" x14ac:dyDescent="0.2">
      <c r="A42" t="s">
        <v>31</v>
      </c>
      <c r="B42" t="s">
        <v>259</v>
      </c>
      <c r="C42" s="1" t="s">
        <v>260</v>
      </c>
      <c r="D42" s="2">
        <v>24205176</v>
      </c>
      <c r="E42" s="3">
        <v>5803671</v>
      </c>
      <c r="F42" s="3">
        <v>5479182</v>
      </c>
      <c r="G42" s="7">
        <f t="shared" si="6"/>
        <v>0.22636406362011166</v>
      </c>
      <c r="H42" s="8">
        <v>7970793</v>
      </c>
      <c r="I42" s="2">
        <v>7862734</v>
      </c>
      <c r="J42" s="6">
        <f t="shared" si="7"/>
        <v>0.32483688612716555</v>
      </c>
      <c r="K42" s="3">
        <v>8262592</v>
      </c>
      <c r="L42" s="3">
        <v>8212863</v>
      </c>
      <c r="M42" s="4">
        <f t="shared" si="8"/>
        <v>0.33930193277669207</v>
      </c>
    </row>
    <row r="43" spans="1:13" x14ac:dyDescent="0.2">
      <c r="A43" t="s">
        <v>32</v>
      </c>
      <c r="B43" t="s">
        <v>257</v>
      </c>
      <c r="C43" s="1" t="s">
        <v>258</v>
      </c>
      <c r="D43" s="2">
        <v>27994682</v>
      </c>
      <c r="E43" s="3">
        <v>7316432</v>
      </c>
      <c r="F43" s="3">
        <v>8138192</v>
      </c>
      <c r="G43" s="7">
        <f t="shared" si="6"/>
        <v>0.29070492745729348</v>
      </c>
      <c r="H43" s="8">
        <v>12369416</v>
      </c>
      <c r="I43" s="2">
        <v>14808811</v>
      </c>
      <c r="J43" s="6">
        <f t="shared" si="7"/>
        <v>0.52898657680769512</v>
      </c>
      <c r="K43" s="3">
        <v>12834717</v>
      </c>
      <c r="L43" s="3">
        <v>15443246</v>
      </c>
      <c r="M43" s="4">
        <f t="shared" si="8"/>
        <v>0.55164927395853258</v>
      </c>
    </row>
    <row r="44" spans="1:13" x14ac:dyDescent="0.2">
      <c r="A44" t="s">
        <v>33</v>
      </c>
      <c r="B44" t="s">
        <v>259</v>
      </c>
      <c r="C44" s="1" t="s">
        <v>260</v>
      </c>
      <c r="D44" s="2">
        <v>531675</v>
      </c>
      <c r="E44" s="3">
        <v>8164</v>
      </c>
      <c r="F44" s="3">
        <v>13279</v>
      </c>
      <c r="G44" s="7">
        <f t="shared" si="6"/>
        <v>2.4975784078619459E-2</v>
      </c>
      <c r="H44" s="8">
        <v>71498</v>
      </c>
      <c r="I44" s="2">
        <v>90778</v>
      </c>
      <c r="J44" s="6">
        <f t="shared" si="7"/>
        <v>0.17073964357925425</v>
      </c>
      <c r="K44" s="3">
        <v>132723</v>
      </c>
      <c r="L44" s="3">
        <v>144902</v>
      </c>
      <c r="M44" s="4">
        <f t="shared" si="8"/>
        <v>0.27253867494239903</v>
      </c>
    </row>
    <row r="45" spans="1:13" x14ac:dyDescent="0.2">
      <c r="A45" t="s">
        <v>34</v>
      </c>
      <c r="B45" t="s">
        <v>259</v>
      </c>
      <c r="C45" s="1" t="s">
        <v>258</v>
      </c>
      <c r="D45" s="2">
        <v>53122</v>
      </c>
      <c r="E45" s="3">
        <v>11254</v>
      </c>
      <c r="F45" s="3">
        <v>10922</v>
      </c>
      <c r="G45" s="7">
        <f t="shared" si="6"/>
        <v>0.20560219871239788</v>
      </c>
      <c r="H45" s="8">
        <v>19861</v>
      </c>
      <c r="I45" s="2">
        <v>24608</v>
      </c>
      <c r="J45" s="6">
        <f t="shared" si="7"/>
        <v>0.46323557094988893</v>
      </c>
      <c r="K45" s="3">
        <v>19861</v>
      </c>
      <c r="L45" s="3">
        <v>24608</v>
      </c>
      <c r="M45" s="4">
        <f t="shared" si="8"/>
        <v>0.46323557094988893</v>
      </c>
    </row>
    <row r="46" spans="1:13" x14ac:dyDescent="0.2">
      <c r="A46" t="s">
        <v>35</v>
      </c>
      <c r="B46" t="s">
        <v>259</v>
      </c>
      <c r="C46" s="1" t="s">
        <v>261</v>
      </c>
      <c r="D46" s="2">
        <v>6141792</v>
      </c>
      <c r="E46" s="3">
        <v>2380608</v>
      </c>
      <c r="F46" s="3">
        <v>2725821</v>
      </c>
      <c r="G46" s="7">
        <f t="shared" si="6"/>
        <v>0.44381525782703157</v>
      </c>
      <c r="H46" s="8">
        <v>2910522</v>
      </c>
      <c r="I46" s="2">
        <v>3553617</v>
      </c>
      <c r="J46" s="6">
        <f t="shared" si="7"/>
        <v>0.57859611657314347</v>
      </c>
      <c r="K46" s="3">
        <v>3005617</v>
      </c>
      <c r="L46" s="3">
        <v>3746156</v>
      </c>
      <c r="M46" s="4">
        <f t="shared" si="8"/>
        <v>0.60994511048241296</v>
      </c>
    </row>
    <row r="47" spans="1:13" x14ac:dyDescent="0.2">
      <c r="A47" t="s">
        <v>36</v>
      </c>
      <c r="B47" t="s">
        <v>259</v>
      </c>
      <c r="C47" s="1" t="s">
        <v>261</v>
      </c>
      <c r="D47" s="2">
        <v>12994848</v>
      </c>
      <c r="E47" s="3">
        <v>5339</v>
      </c>
      <c r="F47" s="3">
        <v>2378</v>
      </c>
      <c r="G47" s="7">
        <f t="shared" si="6"/>
        <v>1.82995599486812E-4</v>
      </c>
      <c r="H47" s="8">
        <v>48168</v>
      </c>
      <c r="I47" s="2">
        <v>25690</v>
      </c>
      <c r="J47" s="6">
        <f t="shared" si="7"/>
        <v>1.976937321621615E-3</v>
      </c>
      <c r="K47" s="3">
        <v>121274</v>
      </c>
      <c r="L47" s="3">
        <v>69555</v>
      </c>
      <c r="M47" s="4">
        <f t="shared" si="8"/>
        <v>5.3525058546279262E-3</v>
      </c>
    </row>
    <row r="48" spans="1:13" x14ac:dyDescent="0.2">
      <c r="A48" t="s">
        <v>37</v>
      </c>
      <c r="B48" t="s">
        <v>259</v>
      </c>
      <c r="C48" s="1" t="s">
        <v>258</v>
      </c>
      <c r="D48" s="2">
        <v>16988384</v>
      </c>
      <c r="E48" s="3">
        <v>2153030</v>
      </c>
      <c r="F48" s="3">
        <v>1911027</v>
      </c>
      <c r="G48" s="7">
        <f t="shared" si="6"/>
        <v>0.11249021684463925</v>
      </c>
      <c r="H48" s="8">
        <v>3690534</v>
      </c>
      <c r="I48" s="2">
        <v>3357933</v>
      </c>
      <c r="J48" s="6">
        <f t="shared" si="7"/>
        <v>0.1976605308662672</v>
      </c>
      <c r="K48" s="3">
        <v>3885594</v>
      </c>
      <c r="L48" s="3">
        <v>3587468</v>
      </c>
      <c r="M48" s="4">
        <f t="shared" si="8"/>
        <v>0.21117182187546502</v>
      </c>
    </row>
    <row r="49" spans="1:13" x14ac:dyDescent="0.2">
      <c r="A49" t="s">
        <v>38</v>
      </c>
      <c r="B49" t="s">
        <v>259</v>
      </c>
      <c r="C49" s="1" t="s">
        <v>252</v>
      </c>
      <c r="D49" s="2">
        <v>1361598875</v>
      </c>
      <c r="E49" s="3">
        <v>149136615</v>
      </c>
      <c r="F49" s="3">
        <v>105116587</v>
      </c>
      <c r="G49" s="7">
        <f t="shared" si="6"/>
        <v>7.7200847422850577E-2</v>
      </c>
      <c r="H49" s="8">
        <v>320080057</v>
      </c>
      <c r="I49" s="2">
        <v>271753578</v>
      </c>
      <c r="J49" s="6">
        <f t="shared" si="7"/>
        <v>0.19958416754714195</v>
      </c>
      <c r="K49" s="3">
        <v>403028019</v>
      </c>
      <c r="L49" s="3">
        <v>357043528</v>
      </c>
      <c r="M49" s="4">
        <f t="shared" si="8"/>
        <v>0.26222372429618818</v>
      </c>
    </row>
    <row r="50" spans="1:13" x14ac:dyDescent="0.2">
      <c r="A50" t="s">
        <v>209</v>
      </c>
      <c r="B50" t="s">
        <v>259</v>
      </c>
      <c r="C50" s="1" t="s">
        <v>231</v>
      </c>
      <c r="D50" s="2">
        <v>1407</v>
      </c>
      <c r="E50" s="3">
        <v>0</v>
      </c>
      <c r="F50" s="3">
        <v>0</v>
      </c>
      <c r="G50" s="7">
        <f t="shared" si="6"/>
        <v>0</v>
      </c>
      <c r="H50" s="8">
        <v>0</v>
      </c>
      <c r="I50" s="2">
        <v>0</v>
      </c>
      <c r="J50" s="6">
        <f t="shared" si="7"/>
        <v>0</v>
      </c>
      <c r="K50" s="3">
        <v>0</v>
      </c>
      <c r="L50" s="3">
        <v>0</v>
      </c>
      <c r="M50" s="4">
        <f t="shared" si="8"/>
        <v>0</v>
      </c>
    </row>
    <row r="51" spans="1:13" x14ac:dyDescent="0.2">
      <c r="A51" t="s">
        <v>210</v>
      </c>
      <c r="B51" t="s">
        <v>259</v>
      </c>
      <c r="C51" s="1" t="s">
        <v>231</v>
      </c>
      <c r="D51" s="2">
        <v>0</v>
      </c>
      <c r="E51" s="3">
        <v>0</v>
      </c>
      <c r="F51" s="3">
        <v>0</v>
      </c>
      <c r="G51" s="4">
        <v>0</v>
      </c>
      <c r="H51" s="8">
        <v>0</v>
      </c>
      <c r="I51" s="2">
        <v>0</v>
      </c>
      <c r="J51" s="6">
        <v>0</v>
      </c>
      <c r="K51" s="3">
        <v>0</v>
      </c>
      <c r="L51" s="3">
        <v>0</v>
      </c>
      <c r="M51" s="4">
        <v>0</v>
      </c>
    </row>
    <row r="52" spans="1:13" x14ac:dyDescent="0.2">
      <c r="A52" t="s">
        <v>211</v>
      </c>
      <c r="B52" t="s">
        <v>259</v>
      </c>
      <c r="C52" s="1" t="s">
        <v>231</v>
      </c>
      <c r="D52" s="2">
        <v>487</v>
      </c>
      <c r="E52" s="3">
        <v>0</v>
      </c>
      <c r="F52" s="3">
        <v>0</v>
      </c>
      <c r="G52" s="7">
        <f t="shared" ref="G52:G82" si="9">F52/D52</f>
        <v>0</v>
      </c>
      <c r="H52" s="8">
        <v>0</v>
      </c>
      <c r="I52" s="2">
        <v>0</v>
      </c>
      <c r="J52" s="6">
        <f t="shared" ref="J52:J82" si="10">I52/D52</f>
        <v>0</v>
      </c>
      <c r="K52" s="3">
        <v>0</v>
      </c>
      <c r="L52" s="3">
        <v>0</v>
      </c>
      <c r="M52" s="4">
        <f t="shared" ref="M52:M82" si="11">L52/D52</f>
        <v>0</v>
      </c>
    </row>
    <row r="53" spans="1:13" x14ac:dyDescent="0.2">
      <c r="A53" t="s">
        <v>39</v>
      </c>
      <c r="B53" t="s">
        <v>259</v>
      </c>
      <c r="C53" s="1" t="s">
        <v>252</v>
      </c>
      <c r="D53" s="2">
        <v>54066316</v>
      </c>
      <c r="E53" s="3">
        <v>14145013</v>
      </c>
      <c r="F53" s="3">
        <v>11092450</v>
      </c>
      <c r="G53" s="7">
        <f t="shared" si="9"/>
        <v>0.20516378441616034</v>
      </c>
      <c r="H53" s="8">
        <v>19472567</v>
      </c>
      <c r="I53" s="2">
        <v>15953791</v>
      </c>
      <c r="J53" s="6">
        <f t="shared" si="10"/>
        <v>0.29507819619150671</v>
      </c>
      <c r="K53" s="3">
        <v>19580424</v>
      </c>
      <c r="L53" s="3">
        <v>16057305</v>
      </c>
      <c r="M53" s="4">
        <f t="shared" si="11"/>
        <v>0.29699277087789744</v>
      </c>
    </row>
    <row r="54" spans="1:13" x14ac:dyDescent="0.2">
      <c r="A54" t="s">
        <v>40</v>
      </c>
      <c r="B54" t="s">
        <v>259</v>
      </c>
      <c r="C54" s="1" t="s">
        <v>261</v>
      </c>
      <c r="D54" s="2">
        <v>770076</v>
      </c>
      <c r="E54" s="3">
        <v>220759</v>
      </c>
      <c r="F54" s="3">
        <v>154306</v>
      </c>
      <c r="G54" s="7">
        <f t="shared" si="9"/>
        <v>0.20037762506557794</v>
      </c>
      <c r="H54" s="8">
        <v>251231</v>
      </c>
      <c r="I54" s="2">
        <v>173531</v>
      </c>
      <c r="J54" s="6">
        <f t="shared" si="10"/>
        <v>0.22534269344843885</v>
      </c>
      <c r="K54" s="3">
        <v>251231</v>
      </c>
      <c r="L54" s="3">
        <v>173531</v>
      </c>
      <c r="M54" s="4">
        <f t="shared" si="11"/>
        <v>0.22534269344843885</v>
      </c>
    </row>
    <row r="55" spans="1:13" x14ac:dyDescent="0.2">
      <c r="A55" t="s">
        <v>212</v>
      </c>
      <c r="B55" t="s">
        <v>259</v>
      </c>
      <c r="C55" s="1" t="s">
        <v>231</v>
      </c>
      <c r="D55" s="2">
        <v>9247</v>
      </c>
      <c r="E55" s="3">
        <v>0</v>
      </c>
      <c r="F55" s="3">
        <v>0</v>
      </c>
      <c r="G55" s="7">
        <f t="shared" si="9"/>
        <v>0</v>
      </c>
      <c r="H55" s="8">
        <v>0</v>
      </c>
      <c r="I55" s="2">
        <v>0</v>
      </c>
      <c r="J55" s="6">
        <f t="shared" si="10"/>
        <v>0</v>
      </c>
      <c r="K55" s="3">
        <v>0</v>
      </c>
      <c r="L55" s="3">
        <v>0</v>
      </c>
      <c r="M55" s="4">
        <f t="shared" si="11"/>
        <v>0</v>
      </c>
    </row>
    <row r="56" spans="1:13" x14ac:dyDescent="0.2">
      <c r="A56" t="s">
        <v>41</v>
      </c>
      <c r="B56" t="s">
        <v>259</v>
      </c>
      <c r="C56" s="1" t="s">
        <v>252</v>
      </c>
      <c r="D56" s="2">
        <v>5455315</v>
      </c>
      <c r="E56" s="3">
        <v>1527930</v>
      </c>
      <c r="F56" s="3">
        <v>1693935</v>
      </c>
      <c r="G56" s="7">
        <f t="shared" si="9"/>
        <v>0.31051094208125468</v>
      </c>
      <c r="H56" s="8">
        <v>1674327</v>
      </c>
      <c r="I56" s="2">
        <v>1882290</v>
      </c>
      <c r="J56" s="6">
        <f t="shared" si="10"/>
        <v>0.34503782091409935</v>
      </c>
      <c r="K56" s="3">
        <v>1674327</v>
      </c>
      <c r="L56" s="3">
        <v>1882290</v>
      </c>
      <c r="M56" s="4">
        <f t="shared" si="11"/>
        <v>0.34503782091409935</v>
      </c>
    </row>
    <row r="57" spans="1:13" x14ac:dyDescent="0.2">
      <c r="A57" t="s">
        <v>213</v>
      </c>
      <c r="B57" t="s">
        <v>259</v>
      </c>
      <c r="C57" s="1" t="s">
        <v>260</v>
      </c>
      <c r="D57" s="2">
        <v>26366915</v>
      </c>
      <c r="E57" s="3">
        <v>4827325</v>
      </c>
      <c r="F57" s="3">
        <v>4491545</v>
      </c>
      <c r="G57" s="7">
        <f t="shared" si="9"/>
        <v>0.17034776347555261</v>
      </c>
      <c r="H57" s="8">
        <v>8782349</v>
      </c>
      <c r="I57" s="2">
        <v>9114111</v>
      </c>
      <c r="J57" s="6">
        <f t="shared" si="10"/>
        <v>0.34566467104702997</v>
      </c>
      <c r="K57" s="3">
        <v>9867942</v>
      </c>
      <c r="L57" s="3">
        <v>10484851</v>
      </c>
      <c r="M57" s="4">
        <f t="shared" si="11"/>
        <v>0.39765179202800177</v>
      </c>
    </row>
    <row r="58" spans="1:13" x14ac:dyDescent="0.2">
      <c r="A58" t="s">
        <v>42</v>
      </c>
      <c r="B58" t="s">
        <v>257</v>
      </c>
      <c r="C58" s="1" t="s">
        <v>258</v>
      </c>
      <c r="D58" s="2">
        <v>3793516</v>
      </c>
      <c r="E58" s="3">
        <v>833660</v>
      </c>
      <c r="F58" s="3">
        <v>990318</v>
      </c>
      <c r="G58" s="7">
        <f t="shared" si="9"/>
        <v>0.26105544302436051</v>
      </c>
      <c r="H58" s="8">
        <v>1801747</v>
      </c>
      <c r="I58" s="2">
        <v>2199423</v>
      </c>
      <c r="J58" s="6">
        <f t="shared" si="10"/>
        <v>0.57978482231259865</v>
      </c>
      <c r="K58" s="3">
        <v>1842483</v>
      </c>
      <c r="L58" s="3">
        <v>2254864</v>
      </c>
      <c r="M58" s="4">
        <f t="shared" si="11"/>
        <v>0.5943994964038638</v>
      </c>
    </row>
    <row r="59" spans="1:13" x14ac:dyDescent="0.2">
      <c r="A59" t="s">
        <v>43</v>
      </c>
      <c r="B59" t="s">
        <v>259</v>
      </c>
      <c r="C59" s="1" t="s">
        <v>252</v>
      </c>
      <c r="D59" s="2">
        <v>12208423</v>
      </c>
      <c r="E59" s="3">
        <v>2385939</v>
      </c>
      <c r="F59" s="3">
        <v>2049626</v>
      </c>
      <c r="G59" s="7">
        <f t="shared" si="9"/>
        <v>0.16788622084932672</v>
      </c>
      <c r="H59" s="8">
        <v>6008136</v>
      </c>
      <c r="I59" s="2">
        <v>4935546</v>
      </c>
      <c r="J59" s="6">
        <f t="shared" si="10"/>
        <v>0.40427383618670487</v>
      </c>
      <c r="K59" s="3">
        <v>6214009</v>
      </c>
      <c r="L59" s="3">
        <v>5055103</v>
      </c>
      <c r="M59" s="4">
        <f t="shared" si="11"/>
        <v>0.41406682910642922</v>
      </c>
    </row>
    <row r="60" spans="1:13" x14ac:dyDescent="0.2">
      <c r="A60" t="s">
        <v>214</v>
      </c>
      <c r="B60" t="s">
        <v>257</v>
      </c>
      <c r="C60" s="1" t="s">
        <v>258</v>
      </c>
      <c r="D60" s="2">
        <v>158711</v>
      </c>
      <c r="E60" s="3">
        <v>4129</v>
      </c>
      <c r="F60" s="3">
        <v>2647</v>
      </c>
      <c r="G60" s="7">
        <f t="shared" si="9"/>
        <v>1.6678113048244923E-2</v>
      </c>
      <c r="H60" s="8">
        <v>26692</v>
      </c>
      <c r="I60" s="2">
        <v>43212</v>
      </c>
      <c r="J60" s="6">
        <f t="shared" si="10"/>
        <v>0.2722684628034604</v>
      </c>
      <c r="K60" s="3">
        <v>57504</v>
      </c>
      <c r="L60" s="3">
        <v>69298</v>
      </c>
      <c r="M60" s="4">
        <f t="shared" si="11"/>
        <v>0.43663010125322127</v>
      </c>
    </row>
    <row r="61" spans="1:13" x14ac:dyDescent="0.2">
      <c r="A61" t="s">
        <v>44</v>
      </c>
      <c r="B61" t="s">
        <v>257</v>
      </c>
      <c r="C61" s="1" t="s">
        <v>258</v>
      </c>
      <c r="D61" s="2">
        <v>800030</v>
      </c>
      <c r="E61" s="3">
        <v>9061</v>
      </c>
      <c r="F61" s="3">
        <v>13738</v>
      </c>
      <c r="G61" s="7">
        <f t="shared" si="9"/>
        <v>1.7171856055397922E-2</v>
      </c>
      <c r="H61" s="8">
        <v>97369</v>
      </c>
      <c r="I61" s="2">
        <v>118585</v>
      </c>
      <c r="J61" s="6">
        <f t="shared" si="10"/>
        <v>0.14822569153656737</v>
      </c>
      <c r="K61" s="3">
        <v>181127</v>
      </c>
      <c r="L61" s="3">
        <v>267516</v>
      </c>
      <c r="M61" s="4">
        <f t="shared" si="11"/>
        <v>0.33438246065772531</v>
      </c>
    </row>
    <row r="62" spans="1:13" x14ac:dyDescent="0.2">
      <c r="A62" t="s">
        <v>45</v>
      </c>
      <c r="B62" t="s">
        <v>257</v>
      </c>
      <c r="C62" s="1" t="s">
        <v>258</v>
      </c>
      <c r="D62" s="2">
        <v>7932090</v>
      </c>
      <c r="E62" s="3">
        <v>2157918</v>
      </c>
      <c r="F62" s="3">
        <v>2487941</v>
      </c>
      <c r="G62" s="7">
        <f t="shared" si="9"/>
        <v>0.31365516528430715</v>
      </c>
      <c r="H62" s="8">
        <v>4038782</v>
      </c>
      <c r="I62" s="2">
        <v>4773246</v>
      </c>
      <c r="J62" s="6">
        <f t="shared" si="10"/>
        <v>0.60176397393372993</v>
      </c>
      <c r="K62" s="3">
        <v>4073142</v>
      </c>
      <c r="L62" s="3">
        <v>4807662</v>
      </c>
      <c r="M62" s="4">
        <f t="shared" si="11"/>
        <v>0.60610280518753568</v>
      </c>
    </row>
    <row r="63" spans="1:13" x14ac:dyDescent="0.2">
      <c r="A63" t="s">
        <v>46</v>
      </c>
      <c r="B63" t="s">
        <v>259</v>
      </c>
      <c r="C63" s="1" t="s">
        <v>261</v>
      </c>
      <c r="D63" s="2">
        <v>88915111</v>
      </c>
      <c r="E63" s="3">
        <v>33055177</v>
      </c>
      <c r="F63" s="3">
        <v>34190547</v>
      </c>
      <c r="G63" s="7">
        <f t="shared" si="9"/>
        <v>0.38453021781640695</v>
      </c>
      <c r="H63" s="8">
        <v>41491187</v>
      </c>
      <c r="I63" s="2">
        <v>44696159</v>
      </c>
      <c r="J63" s="6">
        <f t="shared" si="10"/>
        <v>0.5026834977465191</v>
      </c>
      <c r="K63" s="3">
        <v>42693950</v>
      </c>
      <c r="L63" s="3">
        <v>45993014</v>
      </c>
      <c r="M63" s="4">
        <f t="shared" si="11"/>
        <v>0.51726881384650125</v>
      </c>
    </row>
    <row r="64" spans="1:13" x14ac:dyDescent="0.2">
      <c r="A64" t="s">
        <v>47</v>
      </c>
      <c r="B64" t="s">
        <v>257</v>
      </c>
      <c r="C64" s="1" t="s">
        <v>258</v>
      </c>
      <c r="D64" s="2">
        <v>3716437</v>
      </c>
      <c r="E64" s="3">
        <v>755925</v>
      </c>
      <c r="F64" s="3">
        <v>908282</v>
      </c>
      <c r="G64" s="7">
        <f t="shared" si="9"/>
        <v>0.24439590930775901</v>
      </c>
      <c r="H64" s="8">
        <v>2180606</v>
      </c>
      <c r="I64" s="2">
        <v>2672563</v>
      </c>
      <c r="J64" s="6">
        <f t="shared" si="10"/>
        <v>0.71911968371857238</v>
      </c>
      <c r="K64" s="3">
        <v>2201735</v>
      </c>
      <c r="L64" s="3">
        <v>2698258</v>
      </c>
      <c r="M64" s="4">
        <f t="shared" si="11"/>
        <v>0.7260335638677583</v>
      </c>
    </row>
    <row r="65" spans="1:13" x14ac:dyDescent="0.2">
      <c r="A65" t="s">
        <v>215</v>
      </c>
      <c r="B65" t="s">
        <v>259</v>
      </c>
      <c r="C65" s="1" t="s">
        <v>260</v>
      </c>
      <c r="D65" s="2">
        <v>840269</v>
      </c>
      <c r="E65" s="3">
        <v>0</v>
      </c>
      <c r="F65" s="3">
        <v>0</v>
      </c>
      <c r="G65" s="7">
        <f t="shared" si="9"/>
        <v>0</v>
      </c>
      <c r="H65" s="8">
        <v>0</v>
      </c>
      <c r="I65" s="2">
        <v>0</v>
      </c>
      <c r="J65" s="6">
        <f t="shared" si="10"/>
        <v>0</v>
      </c>
      <c r="K65" s="3">
        <v>0</v>
      </c>
      <c r="L65" s="3">
        <v>0</v>
      </c>
      <c r="M65" s="4">
        <f t="shared" si="11"/>
        <v>0</v>
      </c>
    </row>
    <row r="66" spans="1:13" x14ac:dyDescent="0.2">
      <c r="A66" t="s">
        <v>49</v>
      </c>
      <c r="B66" t="s">
        <v>259</v>
      </c>
      <c r="C66" s="1" t="s">
        <v>252</v>
      </c>
      <c r="D66" s="2">
        <v>72313</v>
      </c>
      <c r="E66" s="3">
        <v>50433</v>
      </c>
      <c r="F66" s="3">
        <v>47997</v>
      </c>
      <c r="G66" s="7">
        <f t="shared" si="9"/>
        <v>0.66373957656299698</v>
      </c>
      <c r="H66" s="8">
        <v>51393</v>
      </c>
      <c r="I66" s="2">
        <v>48917</v>
      </c>
      <c r="J66" s="6">
        <f t="shared" si="10"/>
        <v>0.67646204693485268</v>
      </c>
      <c r="K66" s="3">
        <v>51393</v>
      </c>
      <c r="L66" s="3">
        <v>48917</v>
      </c>
      <c r="M66" s="4">
        <f t="shared" si="11"/>
        <v>0.67646204693485268</v>
      </c>
    </row>
    <row r="67" spans="1:13" x14ac:dyDescent="0.2">
      <c r="A67" t="s">
        <v>48</v>
      </c>
      <c r="B67" t="s">
        <v>259</v>
      </c>
      <c r="C67" s="1" t="s">
        <v>252</v>
      </c>
      <c r="D67" s="2">
        <v>11483997</v>
      </c>
      <c r="E67" s="3">
        <v>1796657</v>
      </c>
      <c r="F67" s="3">
        <v>2022371</v>
      </c>
      <c r="G67" s="7">
        <f t="shared" si="9"/>
        <v>0.17610340720221365</v>
      </c>
      <c r="H67" s="8">
        <v>2913274</v>
      </c>
      <c r="I67" s="2">
        <v>3197745</v>
      </c>
      <c r="J67" s="6">
        <f t="shared" si="10"/>
        <v>0.2784522670982934</v>
      </c>
      <c r="K67" s="3">
        <v>2945210</v>
      </c>
      <c r="L67" s="3">
        <v>3228343</v>
      </c>
      <c r="M67" s="4">
        <f t="shared" si="11"/>
        <v>0.28111667044148481</v>
      </c>
    </row>
    <row r="68" spans="1:13" x14ac:dyDescent="0.2">
      <c r="A68" t="s">
        <v>180</v>
      </c>
      <c r="B68" t="s">
        <v>259</v>
      </c>
      <c r="C68" s="1" t="s">
        <v>260</v>
      </c>
      <c r="D68" s="2">
        <v>1331098</v>
      </c>
      <c r="E68" s="3">
        <v>495689</v>
      </c>
      <c r="F68" s="3">
        <v>547379</v>
      </c>
      <c r="G68" s="7">
        <f t="shared" si="9"/>
        <v>0.41122366647684844</v>
      </c>
      <c r="H68" s="8">
        <v>877036</v>
      </c>
      <c r="I68" s="2">
        <v>904314</v>
      </c>
      <c r="J68" s="6">
        <f t="shared" si="10"/>
        <v>0.67937447130113637</v>
      </c>
      <c r="K68" s="3">
        <v>890734</v>
      </c>
      <c r="L68" s="3">
        <v>914037</v>
      </c>
      <c r="M68" s="4">
        <f t="shared" si="11"/>
        <v>0.6866789672886594</v>
      </c>
    </row>
    <row r="69" spans="1:13" x14ac:dyDescent="0.2">
      <c r="A69" t="s">
        <v>50</v>
      </c>
      <c r="B69" t="s">
        <v>259</v>
      </c>
      <c r="C69" s="1" t="s">
        <v>252</v>
      </c>
      <c r="D69" s="2">
        <v>18211492</v>
      </c>
      <c r="E69" s="3">
        <v>5314225</v>
      </c>
      <c r="F69" s="3">
        <v>4146841</v>
      </c>
      <c r="G69" s="7">
        <f t="shared" si="9"/>
        <v>0.2277046273858287</v>
      </c>
      <c r="H69" s="8">
        <v>7286364</v>
      </c>
      <c r="I69" s="2">
        <v>6195949</v>
      </c>
      <c r="J69" s="6">
        <f t="shared" si="10"/>
        <v>0.34022193239301862</v>
      </c>
      <c r="K69" s="3">
        <v>7450744</v>
      </c>
      <c r="L69" s="3">
        <v>6316417</v>
      </c>
      <c r="M69" s="4">
        <f t="shared" si="11"/>
        <v>0.34683687640749039</v>
      </c>
    </row>
    <row r="70" spans="1:13" x14ac:dyDescent="0.2">
      <c r="A70" t="s">
        <v>51</v>
      </c>
      <c r="B70" t="s">
        <v>259</v>
      </c>
      <c r="C70" s="1" t="s">
        <v>260</v>
      </c>
      <c r="D70" s="2">
        <v>87504862</v>
      </c>
      <c r="E70" s="3">
        <v>63656</v>
      </c>
      <c r="F70" s="3">
        <v>88242</v>
      </c>
      <c r="G70" s="7">
        <f t="shared" si="9"/>
        <v>1.0084239662020151E-3</v>
      </c>
      <c r="H70" s="8">
        <v>721897</v>
      </c>
      <c r="I70" s="2">
        <v>924200</v>
      </c>
      <c r="J70" s="6">
        <f t="shared" si="10"/>
        <v>1.0561698845945268E-2</v>
      </c>
      <c r="K70" s="3">
        <v>1792515</v>
      </c>
      <c r="L70" s="3">
        <v>1790135</v>
      </c>
      <c r="M70" s="4">
        <f t="shared" si="11"/>
        <v>2.0457548975964329E-2</v>
      </c>
    </row>
    <row r="71" spans="1:13" x14ac:dyDescent="0.2">
      <c r="A71" t="s">
        <v>52</v>
      </c>
      <c r="B71" t="s">
        <v>259</v>
      </c>
      <c r="C71" s="1" t="s">
        <v>260</v>
      </c>
      <c r="D71" s="2">
        <v>7043708</v>
      </c>
      <c r="E71" s="3">
        <v>1519018</v>
      </c>
      <c r="F71" s="3">
        <v>1616331</v>
      </c>
      <c r="G71" s="7">
        <f t="shared" si="9"/>
        <v>0.22947160785200069</v>
      </c>
      <c r="H71" s="8">
        <v>2260284</v>
      </c>
      <c r="I71" s="2">
        <v>2460543</v>
      </c>
      <c r="J71" s="6">
        <f t="shared" si="10"/>
        <v>0.34932495782051159</v>
      </c>
      <c r="K71" s="3">
        <v>2260723</v>
      </c>
      <c r="L71" s="3">
        <v>2461042</v>
      </c>
      <c r="M71" s="4">
        <f t="shared" si="11"/>
        <v>0.34939580118880564</v>
      </c>
    </row>
    <row r="72" spans="1:13" x14ac:dyDescent="0.2">
      <c r="A72" t="s">
        <v>53</v>
      </c>
      <c r="B72" t="s">
        <v>259</v>
      </c>
      <c r="C72" s="1" t="s">
        <v>258</v>
      </c>
      <c r="D72" s="2">
        <v>792312</v>
      </c>
      <c r="E72" s="3">
        <v>376921</v>
      </c>
      <c r="F72" s="3">
        <v>403287</v>
      </c>
      <c r="G72" s="7">
        <f t="shared" si="9"/>
        <v>0.50900024232877961</v>
      </c>
      <c r="H72" s="8">
        <v>378336</v>
      </c>
      <c r="I72" s="2">
        <v>425108</v>
      </c>
      <c r="J72" s="6">
        <f t="shared" si="10"/>
        <v>0.53654116055291345</v>
      </c>
      <c r="K72" s="3">
        <v>378336</v>
      </c>
      <c r="L72" s="3">
        <v>425108</v>
      </c>
      <c r="M72" s="4">
        <f t="shared" si="11"/>
        <v>0.53654116055291345</v>
      </c>
    </row>
    <row r="73" spans="1:13" x14ac:dyDescent="0.2">
      <c r="A73" t="s">
        <v>216</v>
      </c>
      <c r="B73" t="s">
        <v>259</v>
      </c>
      <c r="C73" s="1" t="s">
        <v>261</v>
      </c>
      <c r="D73" s="2">
        <v>7144081</v>
      </c>
      <c r="E73" s="3">
        <v>0</v>
      </c>
      <c r="F73" s="3">
        <v>0</v>
      </c>
      <c r="G73" s="7">
        <f t="shared" si="9"/>
        <v>0</v>
      </c>
      <c r="H73" s="8">
        <v>0</v>
      </c>
      <c r="I73" s="2">
        <v>0</v>
      </c>
      <c r="J73" s="6">
        <f t="shared" si="10"/>
        <v>0</v>
      </c>
      <c r="K73" s="3">
        <v>0</v>
      </c>
      <c r="L73" s="3">
        <v>0</v>
      </c>
      <c r="M73" s="4">
        <f t="shared" si="11"/>
        <v>0</v>
      </c>
    </row>
    <row r="74" spans="1:13" x14ac:dyDescent="0.2">
      <c r="A74" t="s">
        <v>54</v>
      </c>
      <c r="B74" t="s">
        <v>257</v>
      </c>
      <c r="C74" s="1" t="s">
        <v>258</v>
      </c>
      <c r="D74" s="2">
        <v>814191</v>
      </c>
      <c r="E74" s="3">
        <v>408915</v>
      </c>
      <c r="F74" s="3">
        <v>343290</v>
      </c>
      <c r="G74" s="7">
        <f t="shared" si="9"/>
        <v>0.42163325313102207</v>
      </c>
      <c r="H74" s="8">
        <v>514464</v>
      </c>
      <c r="I74" s="2">
        <v>489203</v>
      </c>
      <c r="J74" s="6">
        <f t="shared" si="10"/>
        <v>0.60084550185398755</v>
      </c>
      <c r="K74" s="3">
        <v>514466</v>
      </c>
      <c r="L74" s="3">
        <v>489203</v>
      </c>
      <c r="M74" s="4">
        <f t="shared" si="11"/>
        <v>0.60084550185398755</v>
      </c>
    </row>
    <row r="75" spans="1:13" x14ac:dyDescent="0.2">
      <c r="A75" t="s">
        <v>55</v>
      </c>
      <c r="B75" t="s">
        <v>259</v>
      </c>
      <c r="C75" s="1" t="s">
        <v>261</v>
      </c>
      <c r="D75" s="2">
        <v>108474510</v>
      </c>
      <c r="E75" s="3">
        <v>6088738</v>
      </c>
      <c r="F75" s="3">
        <v>8582012</v>
      </c>
      <c r="G75" s="7">
        <f t="shared" si="9"/>
        <v>7.9115471459608344E-2</v>
      </c>
      <c r="H75" s="8">
        <v>14664076</v>
      </c>
      <c r="I75" s="2">
        <v>21404423</v>
      </c>
      <c r="J75" s="6">
        <f t="shared" si="10"/>
        <v>0.19732214508274801</v>
      </c>
      <c r="K75" s="3">
        <v>21709575</v>
      </c>
      <c r="L75" s="3">
        <v>32285197</v>
      </c>
      <c r="M75" s="4">
        <f t="shared" si="11"/>
        <v>0.29762934167667593</v>
      </c>
    </row>
    <row r="76" spans="1:13" x14ac:dyDescent="0.2">
      <c r="A76" t="s">
        <v>56</v>
      </c>
      <c r="B76" t="s">
        <v>257</v>
      </c>
      <c r="C76" s="1" t="s">
        <v>231</v>
      </c>
      <c r="D76" s="2">
        <v>2247</v>
      </c>
      <c r="E76" s="3">
        <v>0</v>
      </c>
      <c r="F76" s="3">
        <v>1</v>
      </c>
      <c r="G76" s="7">
        <f t="shared" si="9"/>
        <v>4.450378282153983E-4</v>
      </c>
      <c r="H76" s="8">
        <v>55</v>
      </c>
      <c r="I76" s="2">
        <v>16</v>
      </c>
      <c r="J76" s="6">
        <f t="shared" si="10"/>
        <v>7.1206052514463727E-3</v>
      </c>
      <c r="K76" s="3">
        <v>234</v>
      </c>
      <c r="L76" s="3">
        <v>68</v>
      </c>
      <c r="M76" s="4">
        <f t="shared" si="11"/>
        <v>3.0262572318647086E-2</v>
      </c>
    </row>
    <row r="77" spans="1:13" x14ac:dyDescent="0.2">
      <c r="A77" t="s">
        <v>217</v>
      </c>
      <c r="B77" t="s">
        <v>257</v>
      </c>
      <c r="C77" s="1" t="s">
        <v>258</v>
      </c>
      <c r="D77" s="2">
        <v>25107</v>
      </c>
      <c r="E77" s="3">
        <v>0</v>
      </c>
      <c r="F77" s="3">
        <v>0</v>
      </c>
      <c r="G77" s="7">
        <f t="shared" si="9"/>
        <v>0</v>
      </c>
      <c r="H77" s="8">
        <v>0</v>
      </c>
      <c r="I77" s="2">
        <v>0</v>
      </c>
      <c r="J77" s="6">
        <f t="shared" si="10"/>
        <v>0</v>
      </c>
      <c r="K77" s="3">
        <v>0</v>
      </c>
      <c r="L77" s="3">
        <v>0</v>
      </c>
      <c r="M77" s="4">
        <f t="shared" si="11"/>
        <v>0</v>
      </c>
    </row>
    <row r="78" spans="1:13" x14ac:dyDescent="0.2">
      <c r="A78" t="s">
        <v>57</v>
      </c>
      <c r="B78" t="s">
        <v>259</v>
      </c>
      <c r="C78" s="1" t="s">
        <v>252</v>
      </c>
      <c r="D78" s="2">
        <v>963859</v>
      </c>
      <c r="E78" s="3">
        <v>417495</v>
      </c>
      <c r="F78" s="3">
        <v>459826</v>
      </c>
      <c r="G78" s="7">
        <f t="shared" si="9"/>
        <v>0.47706770388614933</v>
      </c>
      <c r="H78" s="8">
        <v>476245</v>
      </c>
      <c r="I78" s="2">
        <v>581223</v>
      </c>
      <c r="J78" s="6">
        <f t="shared" si="10"/>
        <v>0.60301662380078414</v>
      </c>
      <c r="K78" s="3">
        <v>476568</v>
      </c>
      <c r="L78" s="3">
        <v>581718</v>
      </c>
      <c r="M78" s="4">
        <f t="shared" si="11"/>
        <v>0.60353018439419048</v>
      </c>
    </row>
    <row r="79" spans="1:13" x14ac:dyDescent="0.2">
      <c r="A79" t="s">
        <v>58</v>
      </c>
      <c r="B79" t="s">
        <v>257</v>
      </c>
      <c r="C79" s="1" t="s">
        <v>258</v>
      </c>
      <c r="D79" s="2">
        <v>2983938</v>
      </c>
      <c r="E79" s="3">
        <v>1712281</v>
      </c>
      <c r="F79" s="3">
        <v>1867083</v>
      </c>
      <c r="G79" s="7">
        <f t="shared" si="9"/>
        <v>0.62571105699917362</v>
      </c>
      <c r="H79" s="8">
        <v>1952440</v>
      </c>
      <c r="I79" s="2">
        <v>2207422</v>
      </c>
      <c r="J79" s="6">
        <f t="shared" si="10"/>
        <v>0.73976805148096236</v>
      </c>
      <c r="K79" s="3">
        <v>1953990</v>
      </c>
      <c r="L79" s="3">
        <v>2207472</v>
      </c>
      <c r="M79" s="4">
        <f t="shared" si="11"/>
        <v>0.73978480786128931</v>
      </c>
    </row>
    <row r="80" spans="1:13" x14ac:dyDescent="0.2">
      <c r="A80" t="s">
        <v>59</v>
      </c>
      <c r="B80" t="s">
        <v>257</v>
      </c>
      <c r="C80" s="1" t="s">
        <v>258</v>
      </c>
      <c r="D80" s="2">
        <v>51948075</v>
      </c>
      <c r="E80" s="3">
        <v>10290481</v>
      </c>
      <c r="F80" s="3">
        <v>13825954</v>
      </c>
      <c r="G80" s="7">
        <f t="shared" si="9"/>
        <v>0.26614949639616098</v>
      </c>
      <c r="H80" s="8">
        <v>22497001</v>
      </c>
      <c r="I80" s="2">
        <v>31245229</v>
      </c>
      <c r="J80" s="6">
        <f t="shared" si="10"/>
        <v>0.60147039134751379</v>
      </c>
      <c r="K80" s="3">
        <v>22952943</v>
      </c>
      <c r="L80" s="3">
        <v>31810992</v>
      </c>
      <c r="M80" s="4">
        <f t="shared" si="11"/>
        <v>0.61236132426466239</v>
      </c>
    </row>
    <row r="81" spans="1:13" x14ac:dyDescent="0.2">
      <c r="A81" t="s">
        <v>60</v>
      </c>
      <c r="B81" t="s">
        <v>259</v>
      </c>
      <c r="C81" s="1" t="s">
        <v>260</v>
      </c>
      <c r="D81" s="2">
        <v>254106</v>
      </c>
      <c r="E81" s="3">
        <v>111688</v>
      </c>
      <c r="F81" s="3">
        <v>99418</v>
      </c>
      <c r="G81" s="7">
        <f t="shared" si="9"/>
        <v>0.3912461728569967</v>
      </c>
      <c r="H81" s="8">
        <v>116323</v>
      </c>
      <c r="I81" s="2">
        <v>113139</v>
      </c>
      <c r="J81" s="6">
        <f t="shared" si="10"/>
        <v>0.44524332365233404</v>
      </c>
      <c r="K81" s="3">
        <v>116323</v>
      </c>
      <c r="L81" s="3">
        <v>113139</v>
      </c>
      <c r="M81" s="4">
        <f t="shared" si="11"/>
        <v>0.44524332365233404</v>
      </c>
    </row>
    <row r="82" spans="1:13" x14ac:dyDescent="0.2">
      <c r="A82" t="s">
        <v>218</v>
      </c>
      <c r="B82" t="s">
        <v>257</v>
      </c>
      <c r="C82" s="1" t="s">
        <v>258</v>
      </c>
      <c r="D82" s="2">
        <v>230722</v>
      </c>
      <c r="E82" s="3">
        <v>0</v>
      </c>
      <c r="F82" s="3">
        <v>0</v>
      </c>
      <c r="G82" s="7">
        <f t="shared" si="9"/>
        <v>0</v>
      </c>
      <c r="H82" s="8">
        <v>0</v>
      </c>
      <c r="I82" s="2">
        <v>0</v>
      </c>
      <c r="J82" s="6">
        <f t="shared" si="10"/>
        <v>0</v>
      </c>
      <c r="K82" s="3">
        <v>0</v>
      </c>
      <c r="L82" s="3">
        <v>0</v>
      </c>
      <c r="M82" s="4">
        <f t="shared" si="11"/>
        <v>0</v>
      </c>
    </row>
    <row r="83" spans="1:13" x14ac:dyDescent="0.2">
      <c r="A83" t="s">
        <v>219</v>
      </c>
      <c r="B83" t="s">
        <v>257</v>
      </c>
      <c r="C83" s="1" t="s">
        <v>231</v>
      </c>
      <c r="D83" s="2">
        <v>0</v>
      </c>
      <c r="E83" s="3">
        <v>0</v>
      </c>
      <c r="F83" s="3">
        <v>0</v>
      </c>
      <c r="G83" s="4">
        <v>0</v>
      </c>
      <c r="H83" s="8">
        <v>0</v>
      </c>
      <c r="I83" s="2">
        <v>0</v>
      </c>
      <c r="J83" s="6">
        <v>0</v>
      </c>
      <c r="K83" s="3">
        <v>0</v>
      </c>
      <c r="L83" s="3">
        <v>0</v>
      </c>
      <c r="M83" s="4">
        <v>0</v>
      </c>
    </row>
    <row r="84" spans="1:13" x14ac:dyDescent="0.2">
      <c r="A84" t="s">
        <v>61</v>
      </c>
      <c r="B84" t="s">
        <v>259</v>
      </c>
      <c r="C84" s="1" t="s">
        <v>252</v>
      </c>
      <c r="D84" s="2">
        <v>1981979</v>
      </c>
      <c r="E84" s="3">
        <v>896570</v>
      </c>
      <c r="F84" s="3">
        <v>685432</v>
      </c>
      <c r="G84" s="7">
        <f t="shared" ref="G84:G100" si="12">F84/D84</f>
        <v>0.34583212032014465</v>
      </c>
      <c r="H84" s="8">
        <v>965805</v>
      </c>
      <c r="I84" s="2">
        <v>756076</v>
      </c>
      <c r="J84" s="6">
        <f t="shared" ref="J84:J100" si="13">I84/D84</f>
        <v>0.3814752830378122</v>
      </c>
      <c r="K84" s="3">
        <v>968559</v>
      </c>
      <c r="L84" s="3">
        <v>756408</v>
      </c>
      <c r="M84" s="4">
        <f t="shared" ref="M84:M100" si="14">L84/D84</f>
        <v>0.38164279238074672</v>
      </c>
    </row>
    <row r="85" spans="1:13" x14ac:dyDescent="0.2">
      <c r="A85" t="s">
        <v>62</v>
      </c>
      <c r="B85" t="s">
        <v>259</v>
      </c>
      <c r="C85" s="1" t="s">
        <v>261</v>
      </c>
      <c r="D85" s="2">
        <v>2131467</v>
      </c>
      <c r="E85" s="3">
        <v>0</v>
      </c>
      <c r="F85" s="3">
        <v>348</v>
      </c>
      <c r="G85" s="7">
        <f t="shared" si="12"/>
        <v>1.6326783384401449E-4</v>
      </c>
      <c r="H85" s="8">
        <v>0</v>
      </c>
      <c r="I85" s="2">
        <v>13673</v>
      </c>
      <c r="J85" s="6">
        <f t="shared" si="13"/>
        <v>6.4148307245666955E-3</v>
      </c>
      <c r="K85" s="3">
        <v>0</v>
      </c>
      <c r="L85" s="3">
        <v>59517</v>
      </c>
      <c r="M85" s="4">
        <f t="shared" si="14"/>
        <v>2.79230220313052E-2</v>
      </c>
    </row>
    <row r="86" spans="1:13" x14ac:dyDescent="0.2">
      <c r="A86" t="s">
        <v>63</v>
      </c>
      <c r="B86" t="s">
        <v>257</v>
      </c>
      <c r="C86" s="1" t="s">
        <v>260</v>
      </c>
      <c r="D86" s="2">
        <v>4125230</v>
      </c>
      <c r="E86" s="3">
        <v>336616</v>
      </c>
      <c r="F86" s="3">
        <v>1028165</v>
      </c>
      <c r="G86" s="7">
        <f t="shared" si="12"/>
        <v>0.24923822429294851</v>
      </c>
      <c r="H86" s="8">
        <v>836852</v>
      </c>
      <c r="I86" s="2">
        <v>2085606</v>
      </c>
      <c r="J86" s="6">
        <f t="shared" si="13"/>
        <v>0.50557326500583</v>
      </c>
      <c r="K86" s="3">
        <v>945197</v>
      </c>
      <c r="L86" s="3">
        <v>2253047</v>
      </c>
      <c r="M86" s="4">
        <f t="shared" si="14"/>
        <v>0.54616275940977832</v>
      </c>
    </row>
    <row r="87" spans="1:13" x14ac:dyDescent="0.2">
      <c r="A87" t="s">
        <v>64</v>
      </c>
      <c r="B87" t="s">
        <v>257</v>
      </c>
      <c r="C87" s="1" t="s">
        <v>258</v>
      </c>
      <c r="D87" s="2">
        <v>61881520</v>
      </c>
      <c r="E87" s="3">
        <v>16290860</v>
      </c>
      <c r="F87" s="3">
        <v>18062499</v>
      </c>
      <c r="G87" s="7">
        <f t="shared" si="12"/>
        <v>0.29188841838403451</v>
      </c>
      <c r="H87" s="8">
        <v>27840521</v>
      </c>
      <c r="I87" s="2">
        <v>33644350</v>
      </c>
      <c r="J87" s="6">
        <f t="shared" si="13"/>
        <v>0.54368978008297142</v>
      </c>
      <c r="K87" s="3">
        <v>28146074</v>
      </c>
      <c r="L87" s="3">
        <v>33968238</v>
      </c>
      <c r="M87" s="4">
        <f t="shared" si="14"/>
        <v>0.5489237820919719</v>
      </c>
    </row>
    <row r="88" spans="1:13" x14ac:dyDescent="0.2">
      <c r="A88" t="s">
        <v>65</v>
      </c>
      <c r="B88" t="s">
        <v>259</v>
      </c>
      <c r="C88" s="1" t="s">
        <v>260</v>
      </c>
      <c r="D88" s="2">
        <v>29654061</v>
      </c>
      <c r="E88" s="3">
        <v>5443651</v>
      </c>
      <c r="F88" s="3">
        <v>5164620</v>
      </c>
      <c r="G88" s="7">
        <f t="shared" si="12"/>
        <v>0.17416231793682491</v>
      </c>
      <c r="H88" s="8">
        <v>8214887</v>
      </c>
      <c r="I88" s="2">
        <v>8259227</v>
      </c>
      <c r="J88" s="6">
        <f t="shared" si="13"/>
        <v>0.27851925576061909</v>
      </c>
      <c r="K88" s="3">
        <v>9164870</v>
      </c>
      <c r="L88" s="3">
        <v>9411733</v>
      </c>
      <c r="M88" s="4">
        <f t="shared" si="14"/>
        <v>0.31738428675924019</v>
      </c>
    </row>
    <row r="89" spans="1:13" x14ac:dyDescent="0.2">
      <c r="A89" t="s">
        <v>66</v>
      </c>
      <c r="B89" t="s">
        <v>257</v>
      </c>
      <c r="C89" s="1" t="s">
        <v>231</v>
      </c>
      <c r="D89" s="2">
        <v>20291</v>
      </c>
      <c r="E89" s="3">
        <v>2147</v>
      </c>
      <c r="F89" s="3">
        <v>970</v>
      </c>
      <c r="G89" s="7">
        <f t="shared" si="12"/>
        <v>4.7804445320585483E-2</v>
      </c>
      <c r="H89" s="8">
        <v>2775</v>
      </c>
      <c r="I89" s="2">
        <v>2696</v>
      </c>
      <c r="J89" s="6">
        <f t="shared" si="13"/>
        <v>0.13286678823123552</v>
      </c>
      <c r="K89" s="3">
        <v>2775</v>
      </c>
      <c r="L89" s="3">
        <v>2696</v>
      </c>
      <c r="M89" s="4">
        <f t="shared" si="14"/>
        <v>0.13286678823123552</v>
      </c>
    </row>
    <row r="90" spans="1:13" x14ac:dyDescent="0.2">
      <c r="A90" t="s">
        <v>67</v>
      </c>
      <c r="B90" t="s">
        <v>257</v>
      </c>
      <c r="C90" s="1" t="s">
        <v>258</v>
      </c>
      <c r="D90" s="2">
        <v>9807178</v>
      </c>
      <c r="E90" s="3">
        <v>969550</v>
      </c>
      <c r="F90" s="3">
        <v>630015</v>
      </c>
      <c r="G90" s="7">
        <f t="shared" si="12"/>
        <v>6.4240192234708088E-2</v>
      </c>
      <c r="H90" s="8">
        <v>3088487</v>
      </c>
      <c r="I90" s="2">
        <v>2730533</v>
      </c>
      <c r="J90" s="6">
        <f t="shared" si="13"/>
        <v>0.27842188649986777</v>
      </c>
      <c r="K90" s="3">
        <v>3866229</v>
      </c>
      <c r="L90" s="3">
        <v>3533617</v>
      </c>
      <c r="M90" s="4">
        <f t="shared" si="14"/>
        <v>0.36030925511905665</v>
      </c>
    </row>
    <row r="91" spans="1:13" x14ac:dyDescent="0.2">
      <c r="A91" t="s">
        <v>220</v>
      </c>
      <c r="B91" t="s">
        <v>257</v>
      </c>
      <c r="C91" s="1" t="s">
        <v>258</v>
      </c>
      <c r="D91" s="2">
        <v>18824</v>
      </c>
      <c r="E91" s="3">
        <v>0</v>
      </c>
      <c r="F91" s="3">
        <v>0</v>
      </c>
      <c r="G91" s="7">
        <f t="shared" si="12"/>
        <v>0</v>
      </c>
      <c r="H91" s="8">
        <v>0</v>
      </c>
      <c r="I91" s="2">
        <v>0</v>
      </c>
      <c r="J91" s="6">
        <f t="shared" si="13"/>
        <v>0</v>
      </c>
      <c r="K91" s="3">
        <v>0</v>
      </c>
      <c r="L91" s="3">
        <v>0</v>
      </c>
      <c r="M91" s="4">
        <f t="shared" si="14"/>
        <v>0</v>
      </c>
    </row>
    <row r="92" spans="1:13" x14ac:dyDescent="0.2">
      <c r="A92" t="s">
        <v>68</v>
      </c>
      <c r="B92" t="s">
        <v>259</v>
      </c>
      <c r="C92" s="1" t="s">
        <v>252</v>
      </c>
      <c r="D92" s="2">
        <v>122128</v>
      </c>
      <c r="E92" s="3">
        <v>39175</v>
      </c>
      <c r="F92" s="3">
        <v>67989</v>
      </c>
      <c r="G92" s="7">
        <f t="shared" si="12"/>
        <v>0.55670280361587843</v>
      </c>
      <c r="H92" s="8">
        <v>39883</v>
      </c>
      <c r="I92" s="2">
        <v>68667</v>
      </c>
      <c r="J92" s="6">
        <f t="shared" si="13"/>
        <v>0.56225435608541863</v>
      </c>
      <c r="K92" s="3">
        <v>39883</v>
      </c>
      <c r="L92" s="3">
        <v>68667</v>
      </c>
      <c r="M92" s="4">
        <f t="shared" si="14"/>
        <v>0.56225435608541863</v>
      </c>
    </row>
    <row r="93" spans="1:13" x14ac:dyDescent="0.2">
      <c r="A93" t="s">
        <v>69</v>
      </c>
      <c r="B93" t="s">
        <v>259</v>
      </c>
      <c r="C93" s="1" t="s">
        <v>258</v>
      </c>
      <c r="D93" s="2">
        <v>441401</v>
      </c>
      <c r="E93" s="3">
        <v>135001</v>
      </c>
      <c r="F93" s="3">
        <v>134903</v>
      </c>
      <c r="G93" s="7">
        <f t="shared" si="12"/>
        <v>0.30562459079159315</v>
      </c>
      <c r="H93" s="8">
        <v>192131</v>
      </c>
      <c r="I93" s="2">
        <v>192165</v>
      </c>
      <c r="J93" s="6">
        <f t="shared" si="13"/>
        <v>0.43535243463426682</v>
      </c>
      <c r="K93" s="3">
        <v>192131</v>
      </c>
      <c r="L93" s="3">
        <v>192165</v>
      </c>
      <c r="M93" s="4">
        <f t="shared" si="14"/>
        <v>0.43535243463426682</v>
      </c>
    </row>
    <row r="94" spans="1:13" x14ac:dyDescent="0.2">
      <c r="A94" t="s">
        <v>221</v>
      </c>
      <c r="B94" t="s">
        <v>259</v>
      </c>
      <c r="C94" s="1" t="s">
        <v>258</v>
      </c>
      <c r="D94" s="2">
        <v>194260</v>
      </c>
      <c r="E94" s="3">
        <v>0</v>
      </c>
      <c r="F94" s="3">
        <v>0</v>
      </c>
      <c r="G94" s="7">
        <f t="shared" si="12"/>
        <v>0</v>
      </c>
      <c r="H94" s="8">
        <v>0</v>
      </c>
      <c r="I94" s="2">
        <v>0</v>
      </c>
      <c r="J94" s="6">
        <f t="shared" si="13"/>
        <v>0</v>
      </c>
      <c r="K94" s="3">
        <v>0</v>
      </c>
      <c r="L94" s="3">
        <v>0</v>
      </c>
      <c r="M94" s="4">
        <f t="shared" si="14"/>
        <v>0</v>
      </c>
    </row>
    <row r="95" spans="1:13" x14ac:dyDescent="0.2">
      <c r="A95" t="s">
        <v>70</v>
      </c>
      <c r="B95" t="s">
        <v>259</v>
      </c>
      <c r="C95" s="1" t="s">
        <v>260</v>
      </c>
      <c r="D95" s="2">
        <v>16502766</v>
      </c>
      <c r="E95" s="3">
        <v>5025712</v>
      </c>
      <c r="F95" s="3">
        <v>4854953</v>
      </c>
      <c r="G95" s="7">
        <f t="shared" si="12"/>
        <v>0.29419025877237792</v>
      </c>
      <c r="H95" s="8">
        <v>6752777</v>
      </c>
      <c r="I95" s="2">
        <v>6585844</v>
      </c>
      <c r="J95" s="6">
        <f t="shared" si="13"/>
        <v>0.39907516109723667</v>
      </c>
      <c r="K95" s="3">
        <v>6765662</v>
      </c>
      <c r="L95" s="3">
        <v>6592540</v>
      </c>
      <c r="M95" s="4">
        <f t="shared" si="14"/>
        <v>0.39948091126057295</v>
      </c>
    </row>
    <row r="96" spans="1:13" x14ac:dyDescent="0.2">
      <c r="A96" t="s">
        <v>71</v>
      </c>
      <c r="B96" t="s">
        <v>257</v>
      </c>
      <c r="C96" s="1" t="s">
        <v>258</v>
      </c>
      <c r="D96" s="2">
        <v>52039</v>
      </c>
      <c r="E96" s="3">
        <v>7226</v>
      </c>
      <c r="F96" s="3">
        <v>7761</v>
      </c>
      <c r="G96" s="7">
        <f t="shared" si="12"/>
        <v>0.14913814639020734</v>
      </c>
      <c r="H96" s="8">
        <v>19300</v>
      </c>
      <c r="I96" s="2">
        <v>19311</v>
      </c>
      <c r="J96" s="6">
        <f t="shared" si="13"/>
        <v>0.37108706931339958</v>
      </c>
      <c r="K96" s="3">
        <v>19300</v>
      </c>
      <c r="L96" s="3">
        <v>19311</v>
      </c>
      <c r="M96" s="4">
        <f t="shared" si="14"/>
        <v>0.37108706931339958</v>
      </c>
    </row>
    <row r="97" spans="1:13" x14ac:dyDescent="0.2">
      <c r="A97" t="s">
        <v>73</v>
      </c>
      <c r="B97" t="s">
        <v>259</v>
      </c>
      <c r="C97" s="1" t="s">
        <v>261</v>
      </c>
      <c r="D97" s="2">
        <v>12965540</v>
      </c>
      <c r="E97" s="3">
        <v>1627658</v>
      </c>
      <c r="F97" s="3">
        <v>2136875</v>
      </c>
      <c r="G97" s="7">
        <f t="shared" si="12"/>
        <v>0.16481187825574561</v>
      </c>
      <c r="H97" s="8">
        <v>4000013</v>
      </c>
      <c r="I97" s="2">
        <v>5229514</v>
      </c>
      <c r="J97" s="6">
        <f t="shared" si="13"/>
        <v>0.403339467542424</v>
      </c>
      <c r="K97" s="3">
        <v>4899354</v>
      </c>
      <c r="L97" s="3">
        <v>6456927</v>
      </c>
      <c r="M97" s="4">
        <f t="shared" si="14"/>
        <v>0.49800679339233073</v>
      </c>
    </row>
    <row r="98" spans="1:13" x14ac:dyDescent="0.2">
      <c r="A98" t="s">
        <v>72</v>
      </c>
      <c r="B98" t="s">
        <v>259</v>
      </c>
      <c r="C98" s="1" t="s">
        <v>261</v>
      </c>
      <c r="D98" s="2">
        <v>1839470</v>
      </c>
      <c r="E98" s="3">
        <v>210901</v>
      </c>
      <c r="F98" s="3">
        <v>206718</v>
      </c>
      <c r="G98" s="7">
        <f t="shared" si="12"/>
        <v>0.11237910919993259</v>
      </c>
      <c r="H98" s="8">
        <v>588027</v>
      </c>
      <c r="I98" s="2">
        <v>583690</v>
      </c>
      <c r="J98" s="6">
        <f t="shared" si="13"/>
        <v>0.31731422638042478</v>
      </c>
      <c r="K98" s="3">
        <v>834913</v>
      </c>
      <c r="L98" s="3">
        <v>794923</v>
      </c>
      <c r="M98" s="4">
        <f t="shared" si="14"/>
        <v>0.43214784693417124</v>
      </c>
    </row>
    <row r="99" spans="1:13" x14ac:dyDescent="0.2">
      <c r="A99" t="s">
        <v>74</v>
      </c>
      <c r="B99" t="s">
        <v>259</v>
      </c>
      <c r="C99" s="1" t="s">
        <v>260</v>
      </c>
      <c r="D99" s="2">
        <v>847435</v>
      </c>
      <c r="E99" s="3">
        <v>434159</v>
      </c>
      <c r="F99" s="3">
        <v>231005</v>
      </c>
      <c r="G99" s="7">
        <f t="shared" si="12"/>
        <v>0.27259317823785895</v>
      </c>
      <c r="H99" s="8">
        <v>514194</v>
      </c>
      <c r="I99" s="2">
        <v>401081</v>
      </c>
      <c r="J99" s="6">
        <f t="shared" si="13"/>
        <v>0.47328821679538846</v>
      </c>
      <c r="K99" s="3">
        <v>516325</v>
      </c>
      <c r="L99" s="3">
        <v>407768</v>
      </c>
      <c r="M99" s="4">
        <f t="shared" si="14"/>
        <v>0.48117908748163574</v>
      </c>
    </row>
    <row r="100" spans="1:13" x14ac:dyDescent="0.2">
      <c r="A100" t="s">
        <v>75</v>
      </c>
      <c r="B100" t="s">
        <v>259</v>
      </c>
      <c r="C100" s="1" t="s">
        <v>261</v>
      </c>
      <c r="D100" s="2">
        <v>11160079</v>
      </c>
      <c r="E100" s="3">
        <v>1525281</v>
      </c>
      <c r="F100" s="3">
        <v>2325890</v>
      </c>
      <c r="G100" s="7">
        <f t="shared" si="12"/>
        <v>0.20841160712213597</v>
      </c>
      <c r="H100" s="8">
        <v>2923999</v>
      </c>
      <c r="I100" s="2">
        <v>4226600</v>
      </c>
      <c r="J100" s="6">
        <f t="shared" si="13"/>
        <v>0.37872491762827126</v>
      </c>
      <c r="K100" s="3">
        <v>3071391</v>
      </c>
      <c r="L100" s="3">
        <v>4421056</v>
      </c>
      <c r="M100" s="4">
        <f t="shared" si="14"/>
        <v>0.39614916704442682</v>
      </c>
    </row>
    <row r="101" spans="1:13" x14ac:dyDescent="0.2">
      <c r="A101" t="s">
        <v>222</v>
      </c>
      <c r="B101" t="s">
        <v>257</v>
      </c>
      <c r="C101" s="1" t="s">
        <v>231</v>
      </c>
      <c r="D101" s="2">
        <v>0</v>
      </c>
      <c r="E101" s="3">
        <v>0</v>
      </c>
      <c r="F101" s="3">
        <v>0</v>
      </c>
      <c r="G101" s="4">
        <v>0</v>
      </c>
      <c r="H101" s="8">
        <v>0</v>
      </c>
      <c r="I101" s="2">
        <v>0</v>
      </c>
      <c r="J101" s="6">
        <v>0</v>
      </c>
      <c r="K101" s="3">
        <v>0</v>
      </c>
      <c r="L101" s="3">
        <v>0</v>
      </c>
      <c r="M101" s="4">
        <v>0</v>
      </c>
    </row>
    <row r="102" spans="1:13" x14ac:dyDescent="0.2">
      <c r="A102" t="s">
        <v>76</v>
      </c>
      <c r="B102" t="s">
        <v>259</v>
      </c>
      <c r="C102" s="1" t="s">
        <v>260</v>
      </c>
      <c r="D102" s="2">
        <v>9657078</v>
      </c>
      <c r="E102" s="3">
        <v>2599395</v>
      </c>
      <c r="F102" s="3">
        <v>2795013</v>
      </c>
      <c r="G102" s="7">
        <f t="shared" ref="G102:G133" si="15">F102/D102</f>
        <v>0.28942636685755257</v>
      </c>
      <c r="H102" s="8">
        <v>3691783</v>
      </c>
      <c r="I102" s="2">
        <v>4107719</v>
      </c>
      <c r="J102" s="6">
        <f t="shared" ref="J102:J133" si="16">I102/D102</f>
        <v>0.42535837444825442</v>
      </c>
      <c r="K102" s="3">
        <v>3702363</v>
      </c>
      <c r="L102" s="3">
        <v>4120934</v>
      </c>
      <c r="M102" s="4">
        <f t="shared" ref="M102:M133" si="17">L102/D102</f>
        <v>0.42672680079833675</v>
      </c>
    </row>
    <row r="103" spans="1:13" x14ac:dyDescent="0.2">
      <c r="A103" t="s">
        <v>77</v>
      </c>
      <c r="B103" t="s">
        <v>259</v>
      </c>
      <c r="C103" s="1" t="s">
        <v>258</v>
      </c>
      <c r="D103" s="2">
        <v>7283562</v>
      </c>
      <c r="E103" s="3">
        <v>104133</v>
      </c>
      <c r="F103" s="3">
        <v>115551</v>
      </c>
      <c r="G103" s="7">
        <f t="shared" si="15"/>
        <v>1.5864627774157754E-2</v>
      </c>
      <c r="H103" s="8">
        <v>138245</v>
      </c>
      <c r="I103" s="2">
        <v>152439</v>
      </c>
      <c r="J103" s="6">
        <f t="shared" si="16"/>
        <v>2.0929182726803178E-2</v>
      </c>
      <c r="K103" s="3">
        <v>138245</v>
      </c>
      <c r="L103" s="3">
        <v>152439</v>
      </c>
      <c r="M103" s="4">
        <f t="shared" si="17"/>
        <v>2.0929182726803178E-2</v>
      </c>
    </row>
    <row r="104" spans="1:13" x14ac:dyDescent="0.2">
      <c r="A104" t="s">
        <v>78</v>
      </c>
      <c r="B104" t="s">
        <v>257</v>
      </c>
      <c r="C104" s="1" t="s">
        <v>252</v>
      </c>
      <c r="D104" s="2">
        <v>8099336</v>
      </c>
      <c r="E104" s="3">
        <v>1221661</v>
      </c>
      <c r="F104" s="3">
        <v>1479159</v>
      </c>
      <c r="G104" s="7">
        <f t="shared" si="15"/>
        <v>0.18262719314274653</v>
      </c>
      <c r="H104" s="8">
        <v>4208798</v>
      </c>
      <c r="I104" s="2">
        <v>4839054</v>
      </c>
      <c r="J104" s="6">
        <f t="shared" si="16"/>
        <v>0.59746305129210597</v>
      </c>
      <c r="K104" s="3">
        <v>4446509</v>
      </c>
      <c r="L104" s="3">
        <v>5044017</v>
      </c>
      <c r="M104" s="4">
        <f t="shared" si="17"/>
        <v>0.62276919984551815</v>
      </c>
    </row>
    <row r="105" spans="1:13" x14ac:dyDescent="0.2">
      <c r="A105" t="s">
        <v>223</v>
      </c>
      <c r="B105" t="s">
        <v>257</v>
      </c>
      <c r="C105" s="1" t="s">
        <v>258</v>
      </c>
      <c r="D105" s="2">
        <v>148787</v>
      </c>
      <c r="E105" s="3">
        <v>0</v>
      </c>
      <c r="F105" s="3">
        <v>0</v>
      </c>
      <c r="G105" s="7">
        <f t="shared" si="15"/>
        <v>0</v>
      </c>
      <c r="H105" s="8">
        <v>0</v>
      </c>
      <c r="I105" s="2">
        <v>0</v>
      </c>
      <c r="J105" s="6">
        <f t="shared" si="16"/>
        <v>0</v>
      </c>
      <c r="K105" s="3">
        <v>0</v>
      </c>
      <c r="L105" s="3">
        <v>0</v>
      </c>
      <c r="M105" s="4">
        <f t="shared" si="17"/>
        <v>0</v>
      </c>
    </row>
    <row r="106" spans="1:13" x14ac:dyDescent="0.2">
      <c r="A106" t="s">
        <v>79</v>
      </c>
      <c r="B106" t="s">
        <v>259</v>
      </c>
      <c r="C106" s="1" t="s">
        <v>260</v>
      </c>
      <c r="D106" s="2">
        <v>1337470228</v>
      </c>
      <c r="E106" s="3">
        <v>27930828</v>
      </c>
      <c r="F106" s="3">
        <v>33348044</v>
      </c>
      <c r="G106" s="7">
        <f t="shared" si="15"/>
        <v>2.4933672018903438E-2</v>
      </c>
      <c r="H106" s="8">
        <v>75317076</v>
      </c>
      <c r="I106" s="2">
        <v>88141053</v>
      </c>
      <c r="J106" s="6">
        <f t="shared" si="16"/>
        <v>6.5901319636701469E-2</v>
      </c>
      <c r="K106" s="3">
        <v>121875121</v>
      </c>
      <c r="L106" s="3">
        <v>140585323</v>
      </c>
      <c r="M106" s="4">
        <f t="shared" si="17"/>
        <v>0.1051128616225168</v>
      </c>
    </row>
    <row r="107" spans="1:13" x14ac:dyDescent="0.2">
      <c r="A107" t="s">
        <v>80</v>
      </c>
      <c r="B107" t="s">
        <v>259</v>
      </c>
      <c r="C107" s="1" t="s">
        <v>260</v>
      </c>
      <c r="D107" s="2">
        <v>295999961</v>
      </c>
      <c r="E107" s="3">
        <v>97639405</v>
      </c>
      <c r="F107" s="3">
        <v>70486087</v>
      </c>
      <c r="G107" s="7">
        <f t="shared" si="15"/>
        <v>0.238128703672363</v>
      </c>
      <c r="H107" s="8">
        <v>129261086</v>
      </c>
      <c r="I107" s="2">
        <v>102776672</v>
      </c>
      <c r="J107" s="6">
        <f t="shared" si="16"/>
        <v>0.3472185322348742</v>
      </c>
      <c r="K107" s="3">
        <v>133152986</v>
      </c>
      <c r="L107" s="3">
        <v>106341546</v>
      </c>
      <c r="M107" s="4">
        <f t="shared" si="17"/>
        <v>0.35926202706492927</v>
      </c>
    </row>
    <row r="108" spans="1:13" x14ac:dyDescent="0.2">
      <c r="A108" t="s">
        <v>81</v>
      </c>
      <c r="B108" t="s">
        <v>257</v>
      </c>
      <c r="C108" s="1" t="s">
        <v>252</v>
      </c>
      <c r="D108" s="2">
        <v>78809306</v>
      </c>
      <c r="E108" s="3">
        <v>392557</v>
      </c>
      <c r="F108" s="3">
        <v>471539</v>
      </c>
      <c r="G108" s="7">
        <f t="shared" si="15"/>
        <v>5.9832908565392012E-3</v>
      </c>
      <c r="H108" s="8">
        <v>1671771</v>
      </c>
      <c r="I108" s="2">
        <v>2095559</v>
      </c>
      <c r="J108" s="6">
        <f t="shared" si="16"/>
        <v>2.6590248111054295E-2</v>
      </c>
      <c r="K108" s="3">
        <v>2875418</v>
      </c>
      <c r="L108" s="3">
        <v>3446398</v>
      </c>
      <c r="M108" s="4">
        <f t="shared" si="17"/>
        <v>4.3730850770339232E-2</v>
      </c>
    </row>
    <row r="109" spans="1:13" x14ac:dyDescent="0.2">
      <c r="A109" t="s">
        <v>82</v>
      </c>
      <c r="B109" t="s">
        <v>257</v>
      </c>
      <c r="C109" s="1" t="s">
        <v>252</v>
      </c>
      <c r="D109" s="2">
        <v>31372023</v>
      </c>
      <c r="E109" s="3">
        <v>8340</v>
      </c>
      <c r="F109" s="3">
        <v>8748</v>
      </c>
      <c r="G109" s="7">
        <f t="shared" si="15"/>
        <v>2.7884717539573394E-4</v>
      </c>
      <c r="H109" s="8">
        <v>82187</v>
      </c>
      <c r="I109" s="2">
        <v>86934</v>
      </c>
      <c r="J109" s="6">
        <f t="shared" si="16"/>
        <v>2.7710677121459463E-3</v>
      </c>
      <c r="K109" s="3">
        <v>269217</v>
      </c>
      <c r="L109" s="3">
        <v>279720</v>
      </c>
      <c r="M109" s="4">
        <f t="shared" si="17"/>
        <v>8.9162244972216167E-3</v>
      </c>
    </row>
    <row r="110" spans="1:13" x14ac:dyDescent="0.2">
      <c r="A110" t="s">
        <v>83</v>
      </c>
      <c r="B110" t="s">
        <v>257</v>
      </c>
      <c r="C110" s="1" t="s">
        <v>258</v>
      </c>
      <c r="D110" s="2">
        <v>3374894</v>
      </c>
      <c r="E110" s="3">
        <v>491240</v>
      </c>
      <c r="F110" s="3">
        <v>553843</v>
      </c>
      <c r="G110" s="7">
        <f t="shared" si="15"/>
        <v>0.1641067837982467</v>
      </c>
      <c r="H110" s="8">
        <v>1786314</v>
      </c>
      <c r="I110" s="2">
        <v>2042967</v>
      </c>
      <c r="J110" s="6">
        <f t="shared" si="16"/>
        <v>0.60534256779620332</v>
      </c>
      <c r="K110" s="3">
        <v>1836901</v>
      </c>
      <c r="L110" s="3">
        <v>2095949</v>
      </c>
      <c r="M110" s="4">
        <f t="shared" si="17"/>
        <v>0.62104143122717337</v>
      </c>
    </row>
    <row r="111" spans="1:13" x14ac:dyDescent="0.2">
      <c r="A111" t="s">
        <v>84</v>
      </c>
      <c r="B111" t="s">
        <v>257</v>
      </c>
      <c r="C111" s="1" t="s">
        <v>258</v>
      </c>
      <c r="D111" s="2">
        <v>55823</v>
      </c>
      <c r="E111" s="3">
        <v>17338</v>
      </c>
      <c r="F111" s="3">
        <v>13848</v>
      </c>
      <c r="G111" s="7">
        <f t="shared" si="15"/>
        <v>0.24806979202120991</v>
      </c>
      <c r="H111" s="8">
        <v>38605</v>
      </c>
      <c r="I111" s="2">
        <v>30141</v>
      </c>
      <c r="J111" s="6">
        <f t="shared" si="16"/>
        <v>0.53993873493004674</v>
      </c>
      <c r="K111" s="3">
        <v>38605</v>
      </c>
      <c r="L111" s="3">
        <v>30141</v>
      </c>
      <c r="M111" s="4">
        <f t="shared" si="17"/>
        <v>0.53993873493004674</v>
      </c>
    </row>
    <row r="112" spans="1:13" x14ac:dyDescent="0.2">
      <c r="A112" t="s">
        <v>85</v>
      </c>
      <c r="B112" t="s">
        <v>257</v>
      </c>
      <c r="C112" s="1" t="s">
        <v>258</v>
      </c>
      <c r="D112" s="2">
        <v>7797049</v>
      </c>
      <c r="E112" s="3">
        <v>77859</v>
      </c>
      <c r="F112" s="3">
        <v>117588</v>
      </c>
      <c r="G112" s="7">
        <f t="shared" si="15"/>
        <v>1.5081090294546053E-2</v>
      </c>
      <c r="H112" s="8">
        <v>661570</v>
      </c>
      <c r="I112" s="2">
        <v>905528</v>
      </c>
      <c r="J112" s="6">
        <f t="shared" si="16"/>
        <v>0.11613727193454858</v>
      </c>
      <c r="K112" s="3">
        <v>1111060</v>
      </c>
      <c r="L112" s="3">
        <v>1316662</v>
      </c>
      <c r="M112" s="4">
        <f t="shared" si="17"/>
        <v>0.16886670841750515</v>
      </c>
    </row>
    <row r="113" spans="1:13" x14ac:dyDescent="0.2">
      <c r="A113" t="s">
        <v>86</v>
      </c>
      <c r="B113" t="s">
        <v>257</v>
      </c>
      <c r="C113" s="1" t="s">
        <v>258</v>
      </c>
      <c r="D113" s="2">
        <v>53547406</v>
      </c>
      <c r="E113" s="3">
        <v>5541369</v>
      </c>
      <c r="F113" s="3">
        <v>8551720</v>
      </c>
      <c r="G113" s="7">
        <f t="shared" si="15"/>
        <v>0.15970372122227544</v>
      </c>
      <c r="H113" s="8">
        <v>15522149</v>
      </c>
      <c r="I113" s="2">
        <v>21169639</v>
      </c>
      <c r="J113" s="6">
        <f t="shared" si="16"/>
        <v>0.39534387529435133</v>
      </c>
      <c r="K113" s="3">
        <v>19304088</v>
      </c>
      <c r="L113" s="3">
        <v>25126585</v>
      </c>
      <c r="M113" s="4">
        <f t="shared" si="17"/>
        <v>0.46924000389486653</v>
      </c>
    </row>
    <row r="114" spans="1:13" x14ac:dyDescent="0.2">
      <c r="A114" t="s">
        <v>87</v>
      </c>
      <c r="B114" t="s">
        <v>259</v>
      </c>
      <c r="C114" s="1" t="s">
        <v>252</v>
      </c>
      <c r="D114" s="2">
        <v>3284707</v>
      </c>
      <c r="E114" s="3">
        <v>806931</v>
      </c>
      <c r="F114" s="3">
        <v>950643</v>
      </c>
      <c r="G114" s="7">
        <f t="shared" si="15"/>
        <v>0.28941485496271052</v>
      </c>
      <c r="H114" s="8">
        <v>999992</v>
      </c>
      <c r="I114" s="2">
        <v>1181660</v>
      </c>
      <c r="J114" s="6">
        <f t="shared" si="16"/>
        <v>0.35974593776552977</v>
      </c>
      <c r="K114" s="3">
        <v>1000016</v>
      </c>
      <c r="L114" s="3">
        <v>1181775</v>
      </c>
      <c r="M114" s="4">
        <f t="shared" si="17"/>
        <v>0.35978094849860276</v>
      </c>
    </row>
    <row r="115" spans="1:13" x14ac:dyDescent="0.2">
      <c r="A115" t="s">
        <v>88</v>
      </c>
      <c r="B115" t="s">
        <v>257</v>
      </c>
      <c r="C115" s="1" t="s">
        <v>258</v>
      </c>
      <c r="D115" s="2">
        <v>123536304</v>
      </c>
      <c r="E115" s="3">
        <v>17868382</v>
      </c>
      <c r="F115" s="3">
        <v>13348752</v>
      </c>
      <c r="G115" s="7">
        <f t="shared" si="15"/>
        <v>0.10805529684618054</v>
      </c>
      <c r="H115" s="8">
        <v>27955174</v>
      </c>
      <c r="I115" s="2">
        <v>23356966</v>
      </c>
      <c r="J115" s="6">
        <f t="shared" si="16"/>
        <v>0.18906965194620037</v>
      </c>
      <c r="K115" s="3">
        <v>29167036</v>
      </c>
      <c r="L115" s="3">
        <v>24574770</v>
      </c>
      <c r="M115" s="4">
        <f t="shared" si="17"/>
        <v>0.19892751526709104</v>
      </c>
    </row>
    <row r="116" spans="1:13" x14ac:dyDescent="0.2">
      <c r="A116" t="s">
        <v>89</v>
      </c>
      <c r="B116" t="s">
        <v>257</v>
      </c>
      <c r="C116" s="1" t="s">
        <v>258</v>
      </c>
      <c r="D116" s="2">
        <v>68858</v>
      </c>
      <c r="E116" s="3">
        <v>9776</v>
      </c>
      <c r="F116" s="3">
        <v>8532</v>
      </c>
      <c r="G116" s="7">
        <f t="shared" si="15"/>
        <v>0.12390717128002555</v>
      </c>
      <c r="H116" s="8">
        <v>21513</v>
      </c>
      <c r="I116" s="2">
        <v>25575</v>
      </c>
      <c r="J116" s="6">
        <f t="shared" si="16"/>
        <v>0.3714165383833396</v>
      </c>
      <c r="K116" s="3">
        <v>22038</v>
      </c>
      <c r="L116" s="3">
        <v>25863</v>
      </c>
      <c r="M116" s="4">
        <f t="shared" si="17"/>
        <v>0.37559905893287637</v>
      </c>
    </row>
    <row r="117" spans="1:13" x14ac:dyDescent="0.2">
      <c r="A117" t="s">
        <v>90</v>
      </c>
      <c r="B117" t="s">
        <v>257</v>
      </c>
      <c r="C117" s="1" t="s">
        <v>252</v>
      </c>
      <c r="D117" s="2">
        <v>6968771</v>
      </c>
      <c r="E117" s="3">
        <v>11248</v>
      </c>
      <c r="F117" s="3">
        <v>13084</v>
      </c>
      <c r="G117" s="7">
        <f t="shared" si="15"/>
        <v>1.8775190058620092E-3</v>
      </c>
      <c r="H117" s="8">
        <v>93639</v>
      </c>
      <c r="I117" s="2">
        <v>99153</v>
      </c>
      <c r="J117" s="6">
        <f t="shared" si="16"/>
        <v>1.4228190307874946E-2</v>
      </c>
      <c r="K117" s="3">
        <v>199383</v>
      </c>
      <c r="L117" s="3">
        <v>222196</v>
      </c>
      <c r="M117" s="4">
        <f t="shared" si="17"/>
        <v>3.1884531720155533E-2</v>
      </c>
    </row>
    <row r="118" spans="1:13" x14ac:dyDescent="0.2">
      <c r="A118" t="s">
        <v>91</v>
      </c>
      <c r="B118" t="s">
        <v>257</v>
      </c>
      <c r="C118" s="1" t="s">
        <v>252</v>
      </c>
      <c r="D118" s="2">
        <v>14264482</v>
      </c>
      <c r="E118" s="3">
        <v>272980</v>
      </c>
      <c r="F118" s="3">
        <v>258580</v>
      </c>
      <c r="G118" s="7">
        <f t="shared" si="15"/>
        <v>1.8127542240931008E-2</v>
      </c>
      <c r="H118" s="8">
        <v>1755953</v>
      </c>
      <c r="I118" s="2">
        <v>1969816</v>
      </c>
      <c r="J118" s="6">
        <f t="shared" si="16"/>
        <v>0.1380923611526868</v>
      </c>
      <c r="K118" s="3">
        <v>3135060</v>
      </c>
      <c r="L118" s="3">
        <v>3655024</v>
      </c>
      <c r="M118" s="4">
        <f t="shared" si="17"/>
        <v>0.25623250812752962</v>
      </c>
    </row>
    <row r="119" spans="1:13" x14ac:dyDescent="0.2">
      <c r="A119" t="s">
        <v>92</v>
      </c>
      <c r="B119" t="s">
        <v>259</v>
      </c>
      <c r="C119" s="1" t="s">
        <v>261</v>
      </c>
      <c r="D119" s="2">
        <v>46345010</v>
      </c>
      <c r="E119" s="3">
        <v>3153233</v>
      </c>
      <c r="F119" s="3">
        <v>2656427</v>
      </c>
      <c r="G119" s="7">
        <f t="shared" si="15"/>
        <v>5.7318511744845882E-2</v>
      </c>
      <c r="H119" s="8">
        <v>10467294</v>
      </c>
      <c r="I119" s="2">
        <v>12023792</v>
      </c>
      <c r="J119" s="6">
        <f t="shared" si="16"/>
        <v>0.25944091931364349</v>
      </c>
      <c r="K119" s="3">
        <v>15255883</v>
      </c>
      <c r="L119" s="3">
        <v>17914992</v>
      </c>
      <c r="M119" s="4">
        <f t="shared" si="17"/>
        <v>0.38655708564956615</v>
      </c>
    </row>
    <row r="120" spans="1:13" x14ac:dyDescent="0.2">
      <c r="A120" t="s">
        <v>224</v>
      </c>
      <c r="B120" t="s">
        <v>259</v>
      </c>
      <c r="C120" s="1" t="s">
        <v>260</v>
      </c>
      <c r="D120" s="2">
        <v>65627</v>
      </c>
      <c r="E120" s="3">
        <v>0</v>
      </c>
      <c r="F120" s="3">
        <v>0</v>
      </c>
      <c r="G120" s="7">
        <f t="shared" si="15"/>
        <v>0</v>
      </c>
      <c r="H120" s="8">
        <v>0</v>
      </c>
      <c r="I120" s="2">
        <v>0</v>
      </c>
      <c r="J120" s="6">
        <f t="shared" si="16"/>
        <v>0</v>
      </c>
      <c r="K120" s="3">
        <v>0</v>
      </c>
      <c r="L120" s="3">
        <v>0</v>
      </c>
      <c r="M120" s="4">
        <f t="shared" si="17"/>
        <v>0</v>
      </c>
    </row>
    <row r="121" spans="1:13" x14ac:dyDescent="0.2">
      <c r="A121" t="s">
        <v>93</v>
      </c>
      <c r="B121" t="s">
        <v>257</v>
      </c>
      <c r="C121" s="1" t="s">
        <v>260</v>
      </c>
      <c r="D121" s="2">
        <v>1653035</v>
      </c>
      <c r="E121" s="3">
        <v>187806</v>
      </c>
      <c r="F121" s="3">
        <v>307236</v>
      </c>
      <c r="G121" s="7">
        <f t="shared" si="15"/>
        <v>0.18586176336254223</v>
      </c>
      <c r="H121" s="8">
        <v>688748</v>
      </c>
      <c r="I121" s="2">
        <v>914983</v>
      </c>
      <c r="J121" s="6">
        <f t="shared" si="16"/>
        <v>0.55351701567117451</v>
      </c>
      <c r="K121" s="3">
        <v>751930</v>
      </c>
      <c r="L121" s="3">
        <v>957614</v>
      </c>
      <c r="M121" s="4">
        <f t="shared" si="17"/>
        <v>0.57930654825820382</v>
      </c>
    </row>
    <row r="122" spans="1:13" x14ac:dyDescent="0.2">
      <c r="A122" t="s">
        <v>225</v>
      </c>
      <c r="B122" t="s">
        <v>257</v>
      </c>
      <c r="C122" s="1" t="s">
        <v>258</v>
      </c>
      <c r="D122" s="2">
        <v>2888405</v>
      </c>
      <c r="E122" s="3">
        <v>0</v>
      </c>
      <c r="F122" s="3">
        <v>0</v>
      </c>
      <c r="G122" s="7">
        <f t="shared" si="15"/>
        <v>0</v>
      </c>
      <c r="H122" s="8">
        <v>0</v>
      </c>
      <c r="I122" s="2">
        <v>0</v>
      </c>
      <c r="J122" s="6">
        <f t="shared" si="16"/>
        <v>0</v>
      </c>
      <c r="K122" s="3">
        <v>0</v>
      </c>
      <c r="L122" s="3">
        <v>0</v>
      </c>
      <c r="M122" s="4">
        <f t="shared" si="17"/>
        <v>0</v>
      </c>
    </row>
    <row r="123" spans="1:13" x14ac:dyDescent="0.2">
      <c r="A123" t="s">
        <v>94</v>
      </c>
      <c r="B123" t="s">
        <v>257</v>
      </c>
      <c r="C123" s="1" t="s">
        <v>261</v>
      </c>
      <c r="D123" s="2">
        <v>4849816</v>
      </c>
      <c r="E123" s="3">
        <v>109257</v>
      </c>
      <c r="F123" s="3">
        <v>111752</v>
      </c>
      <c r="G123" s="7">
        <f t="shared" si="15"/>
        <v>2.3042523675124993E-2</v>
      </c>
      <c r="H123" s="8">
        <v>763098</v>
      </c>
      <c r="I123" s="2">
        <v>903411</v>
      </c>
      <c r="J123" s="6">
        <f t="shared" si="16"/>
        <v>0.18627737629633784</v>
      </c>
      <c r="K123" s="3">
        <v>1390555</v>
      </c>
      <c r="L123" s="3">
        <v>1655546</v>
      </c>
      <c r="M123" s="4">
        <f t="shared" si="17"/>
        <v>0.34136264138680728</v>
      </c>
    </row>
    <row r="124" spans="1:13" x14ac:dyDescent="0.2">
      <c r="A124" t="s">
        <v>95</v>
      </c>
      <c r="B124" t="s">
        <v>259</v>
      </c>
      <c r="C124" s="1" t="s">
        <v>260</v>
      </c>
      <c r="D124" s="2">
        <v>7734377</v>
      </c>
      <c r="E124" s="3">
        <v>3664824</v>
      </c>
      <c r="F124" s="3">
        <v>3157814</v>
      </c>
      <c r="G124" s="7">
        <f t="shared" si="15"/>
        <v>0.40828291664603367</v>
      </c>
      <c r="H124" s="8">
        <v>4948596</v>
      </c>
      <c r="I124" s="2">
        <v>4984248</v>
      </c>
      <c r="J124" s="6">
        <f t="shared" si="16"/>
        <v>0.64442785760249344</v>
      </c>
      <c r="K124" s="3">
        <v>5062915</v>
      </c>
      <c r="L124" s="3">
        <v>5162756</v>
      </c>
      <c r="M124" s="4">
        <f t="shared" si="17"/>
        <v>0.66750767385660148</v>
      </c>
    </row>
    <row r="125" spans="1:13" x14ac:dyDescent="0.2">
      <c r="A125" t="s">
        <v>96</v>
      </c>
      <c r="B125" t="s">
        <v>257</v>
      </c>
      <c r="C125" s="1" t="s">
        <v>258</v>
      </c>
      <c r="D125" s="2">
        <v>1452668</v>
      </c>
      <c r="E125" s="3">
        <v>644486</v>
      </c>
      <c r="F125" s="3">
        <v>535325</v>
      </c>
      <c r="G125" s="7">
        <f t="shared" si="15"/>
        <v>0.36851159383974863</v>
      </c>
      <c r="H125" s="8">
        <v>816952</v>
      </c>
      <c r="I125" s="2">
        <v>798606</v>
      </c>
      <c r="J125" s="6">
        <f t="shared" si="16"/>
        <v>0.54975121638254576</v>
      </c>
      <c r="K125" s="3">
        <v>816952</v>
      </c>
      <c r="L125" s="3">
        <v>798606</v>
      </c>
      <c r="M125" s="4">
        <f t="shared" si="17"/>
        <v>0.54975121638254576</v>
      </c>
    </row>
    <row r="126" spans="1:13" x14ac:dyDescent="0.2">
      <c r="A126" t="s">
        <v>97</v>
      </c>
      <c r="B126" t="s">
        <v>257</v>
      </c>
      <c r="C126" s="1" t="s">
        <v>252</v>
      </c>
      <c r="D126" s="2">
        <v>4528046</v>
      </c>
      <c r="E126" s="3">
        <v>180742</v>
      </c>
      <c r="F126" s="3">
        <v>293100</v>
      </c>
      <c r="G126" s="7">
        <f t="shared" si="15"/>
        <v>6.4729907779205426E-2</v>
      </c>
      <c r="H126" s="8">
        <v>717126</v>
      </c>
      <c r="I126" s="2">
        <v>1020536</v>
      </c>
      <c r="J126" s="6">
        <f t="shared" si="16"/>
        <v>0.22538110257713814</v>
      </c>
      <c r="K126" s="3">
        <v>858115</v>
      </c>
      <c r="L126" s="3">
        <v>1219431</v>
      </c>
      <c r="M126" s="4">
        <f t="shared" si="17"/>
        <v>0.26930623054624447</v>
      </c>
    </row>
    <row r="127" spans="1:13" x14ac:dyDescent="0.2">
      <c r="A127" t="s">
        <v>98</v>
      </c>
      <c r="B127" t="s">
        <v>257</v>
      </c>
      <c r="C127" s="1" t="s">
        <v>260</v>
      </c>
      <c r="D127" s="2">
        <v>1977216</v>
      </c>
      <c r="E127" s="3">
        <v>2053</v>
      </c>
      <c r="F127" s="3">
        <v>3877</v>
      </c>
      <c r="G127" s="7">
        <f t="shared" si="15"/>
        <v>1.9608378649575969E-3</v>
      </c>
      <c r="H127" s="8">
        <v>59619</v>
      </c>
      <c r="I127" s="2">
        <v>90588</v>
      </c>
      <c r="J127" s="6">
        <f t="shared" si="16"/>
        <v>4.5815935133035543E-2</v>
      </c>
      <c r="K127" s="3">
        <v>210688</v>
      </c>
      <c r="L127" s="3">
        <v>242501</v>
      </c>
      <c r="M127" s="4">
        <f t="shared" si="17"/>
        <v>0.12264770262834207</v>
      </c>
    </row>
    <row r="128" spans="1:13" x14ac:dyDescent="0.2">
      <c r="A128" t="s">
        <v>99</v>
      </c>
      <c r="B128" t="s">
        <v>259</v>
      </c>
      <c r="C128" s="1" t="s">
        <v>261</v>
      </c>
      <c r="D128" s="2">
        <v>4663877</v>
      </c>
      <c r="E128" s="3">
        <v>2780850</v>
      </c>
      <c r="F128" s="3">
        <v>2707670</v>
      </c>
      <c r="G128" s="7">
        <f t="shared" si="15"/>
        <v>0.58056205170076314</v>
      </c>
      <c r="H128" s="8">
        <v>2893675</v>
      </c>
      <c r="I128" s="2">
        <v>2874098</v>
      </c>
      <c r="J128" s="6">
        <f t="shared" si="16"/>
        <v>0.6162465262269996</v>
      </c>
      <c r="K128" s="3">
        <v>2906778</v>
      </c>
      <c r="L128" s="3">
        <v>2890059</v>
      </c>
      <c r="M128" s="4">
        <f t="shared" si="17"/>
        <v>0.61966878629089062</v>
      </c>
    </row>
    <row r="129" spans="1:13" x14ac:dyDescent="0.2">
      <c r="A129" t="s">
        <v>100</v>
      </c>
      <c r="B129" t="s">
        <v>259</v>
      </c>
      <c r="C129" s="1" t="s">
        <v>252</v>
      </c>
      <c r="D129" s="2">
        <v>5764987</v>
      </c>
      <c r="E129" s="3">
        <v>600</v>
      </c>
      <c r="F129" s="3">
        <v>1333</v>
      </c>
      <c r="G129" s="7">
        <f t="shared" si="15"/>
        <v>2.3122341819677999E-4</v>
      </c>
      <c r="H129" s="8">
        <v>16344</v>
      </c>
      <c r="I129" s="2">
        <v>25660</v>
      </c>
      <c r="J129" s="6">
        <f t="shared" si="16"/>
        <v>4.4510074350557942E-3</v>
      </c>
      <c r="K129" s="3">
        <v>56920</v>
      </c>
      <c r="L129" s="3">
        <v>64029</v>
      </c>
      <c r="M129" s="4">
        <f t="shared" si="17"/>
        <v>1.110652981524503E-2</v>
      </c>
    </row>
    <row r="130" spans="1:13" x14ac:dyDescent="0.2">
      <c r="A130" t="s">
        <v>101</v>
      </c>
      <c r="B130" t="s">
        <v>257</v>
      </c>
      <c r="C130" s="1" t="s">
        <v>258</v>
      </c>
      <c r="D130" s="2">
        <v>29702</v>
      </c>
      <c r="E130" s="3">
        <v>18457</v>
      </c>
      <c r="F130" s="3">
        <v>17221</v>
      </c>
      <c r="G130" s="7">
        <f t="shared" si="15"/>
        <v>0.57979260655848086</v>
      </c>
      <c r="H130" s="8">
        <v>19988</v>
      </c>
      <c r="I130" s="2">
        <v>21293</v>
      </c>
      <c r="J130" s="6">
        <f t="shared" si="16"/>
        <v>0.7168877516665545</v>
      </c>
      <c r="K130" s="3">
        <v>19988</v>
      </c>
      <c r="L130" s="3">
        <v>21293</v>
      </c>
      <c r="M130" s="4">
        <f t="shared" si="17"/>
        <v>0.7168877516665545</v>
      </c>
    </row>
    <row r="131" spans="1:13" x14ac:dyDescent="0.2">
      <c r="A131" t="s">
        <v>102</v>
      </c>
      <c r="B131" t="s">
        <v>257</v>
      </c>
      <c r="C131" s="1" t="s">
        <v>258</v>
      </c>
      <c r="D131" s="2">
        <v>2427084</v>
      </c>
      <c r="E131" s="3">
        <v>726304</v>
      </c>
      <c r="F131" s="3">
        <v>649798</v>
      </c>
      <c r="G131" s="7">
        <f t="shared" si="15"/>
        <v>0.26772785779148972</v>
      </c>
      <c r="H131" s="8">
        <v>1201357</v>
      </c>
      <c r="I131" s="2">
        <v>1310152</v>
      </c>
      <c r="J131" s="6">
        <f t="shared" si="16"/>
        <v>0.53980496760721919</v>
      </c>
      <c r="K131" s="3">
        <v>1209840</v>
      </c>
      <c r="L131" s="3">
        <v>1318731</v>
      </c>
      <c r="M131" s="4">
        <f t="shared" si="17"/>
        <v>0.54333966191528604</v>
      </c>
    </row>
    <row r="132" spans="1:13" x14ac:dyDescent="0.2">
      <c r="A132" t="s">
        <v>103</v>
      </c>
      <c r="B132" t="s">
        <v>257</v>
      </c>
      <c r="C132" s="1" t="s">
        <v>258</v>
      </c>
      <c r="D132" s="2">
        <v>395821</v>
      </c>
      <c r="E132" s="3">
        <v>139632</v>
      </c>
      <c r="F132" s="3">
        <v>161206</v>
      </c>
      <c r="G132" s="7">
        <f t="shared" si="15"/>
        <v>0.40726995283221457</v>
      </c>
      <c r="H132" s="8">
        <v>217130</v>
      </c>
      <c r="I132" s="2">
        <v>268671</v>
      </c>
      <c r="J132" s="6">
        <f t="shared" si="16"/>
        <v>0.67876893848482012</v>
      </c>
      <c r="K132" s="3">
        <v>217130</v>
      </c>
      <c r="L132" s="3">
        <v>268671</v>
      </c>
      <c r="M132" s="4">
        <f t="shared" si="17"/>
        <v>0.67876893848482012</v>
      </c>
    </row>
    <row r="133" spans="1:13" x14ac:dyDescent="0.2">
      <c r="A133" t="s">
        <v>104</v>
      </c>
      <c r="B133" t="s">
        <v>259</v>
      </c>
      <c r="C133" s="1" t="s">
        <v>258</v>
      </c>
      <c r="D133" s="2">
        <v>537253</v>
      </c>
      <c r="E133" s="3">
        <v>152</v>
      </c>
      <c r="F133" s="3">
        <v>2395</v>
      </c>
      <c r="G133" s="7">
        <f t="shared" si="15"/>
        <v>4.4578624968124887E-3</v>
      </c>
      <c r="H133" s="8">
        <v>1657</v>
      </c>
      <c r="I133" s="2">
        <v>4735</v>
      </c>
      <c r="J133" s="6">
        <f t="shared" si="16"/>
        <v>8.8133523684372165E-3</v>
      </c>
      <c r="K133" s="3">
        <v>1657</v>
      </c>
      <c r="L133" s="3">
        <v>4735</v>
      </c>
      <c r="M133" s="4">
        <f t="shared" si="17"/>
        <v>8.8133523684372165E-3</v>
      </c>
    </row>
    <row r="134" spans="1:13" x14ac:dyDescent="0.2">
      <c r="A134" t="s">
        <v>105</v>
      </c>
      <c r="B134" t="s">
        <v>257</v>
      </c>
      <c r="C134" s="1" t="s">
        <v>252</v>
      </c>
      <c r="D134" s="2">
        <v>1945082</v>
      </c>
      <c r="E134" s="3">
        <v>127983</v>
      </c>
      <c r="F134" s="3">
        <v>175341</v>
      </c>
      <c r="G134" s="7">
        <f t="shared" ref="G134:G165" si="18">F134/D134</f>
        <v>9.0145813903989652E-2</v>
      </c>
      <c r="H134" s="8">
        <v>453378</v>
      </c>
      <c r="I134" s="2">
        <v>635362</v>
      </c>
      <c r="J134" s="6">
        <f t="shared" ref="J134:J165" si="19">I134/D134</f>
        <v>0.32665049596880746</v>
      </c>
      <c r="K134" s="3">
        <v>619187</v>
      </c>
      <c r="L134" s="3">
        <v>785014</v>
      </c>
      <c r="M134" s="4">
        <f t="shared" ref="M134:M165" si="20">L134/D134</f>
        <v>0.40358915459605305</v>
      </c>
    </row>
    <row r="135" spans="1:13" x14ac:dyDescent="0.2">
      <c r="A135" t="s">
        <v>106</v>
      </c>
      <c r="B135" t="s">
        <v>259</v>
      </c>
      <c r="C135" s="1" t="s">
        <v>261</v>
      </c>
      <c r="D135" s="2">
        <v>25064715</v>
      </c>
      <c r="E135" s="3">
        <v>5246677</v>
      </c>
      <c r="F135" s="3">
        <v>5829305</v>
      </c>
      <c r="G135" s="7">
        <f t="shared" si="18"/>
        <v>0.23257016886088672</v>
      </c>
      <c r="H135" s="8">
        <v>9134487</v>
      </c>
      <c r="I135" s="2">
        <v>11310570</v>
      </c>
      <c r="J135" s="6">
        <f t="shared" si="19"/>
        <v>0.45125468212983871</v>
      </c>
      <c r="K135" s="3">
        <v>11090313</v>
      </c>
      <c r="L135" s="3">
        <v>14012870</v>
      </c>
      <c r="M135" s="4">
        <f t="shared" si="20"/>
        <v>0.55906759761680913</v>
      </c>
    </row>
    <row r="136" spans="1:13" x14ac:dyDescent="0.2">
      <c r="A136" t="s">
        <v>107</v>
      </c>
      <c r="B136" t="s">
        <v>259</v>
      </c>
      <c r="C136" s="1" t="s">
        <v>261</v>
      </c>
      <c r="D136" s="2">
        <v>19182921</v>
      </c>
      <c r="E136" s="3">
        <v>396639</v>
      </c>
      <c r="F136" s="3">
        <v>439661</v>
      </c>
      <c r="G136" s="7">
        <f t="shared" si="18"/>
        <v>2.2919397937363136E-2</v>
      </c>
      <c r="H136" s="8">
        <v>2260068</v>
      </c>
      <c r="I136" s="2">
        <v>3179135</v>
      </c>
      <c r="J136" s="6">
        <f t="shared" si="19"/>
        <v>0.16572736758911744</v>
      </c>
      <c r="K136" s="3">
        <v>4566923</v>
      </c>
      <c r="L136" s="3">
        <v>6532059</v>
      </c>
      <c r="M136" s="4">
        <f t="shared" si="20"/>
        <v>0.34051430436480451</v>
      </c>
    </row>
    <row r="137" spans="1:13" x14ac:dyDescent="0.2">
      <c r="A137" t="s">
        <v>108</v>
      </c>
      <c r="B137" t="s">
        <v>259</v>
      </c>
      <c r="C137" s="1" t="s">
        <v>252</v>
      </c>
      <c r="D137" s="2">
        <v>34683798</v>
      </c>
      <c r="E137" s="3">
        <v>11115651</v>
      </c>
      <c r="F137" s="3">
        <v>8645867</v>
      </c>
      <c r="G137" s="7">
        <f t="shared" si="18"/>
        <v>0.24927682372040108</v>
      </c>
      <c r="H137" s="8">
        <v>12345105</v>
      </c>
      <c r="I137" s="2">
        <v>10133123</v>
      </c>
      <c r="J137" s="6">
        <f t="shared" si="19"/>
        <v>0.29215724875343813</v>
      </c>
      <c r="K137" s="3">
        <v>12358920</v>
      </c>
      <c r="L137" s="3">
        <v>10134877</v>
      </c>
      <c r="M137" s="4">
        <f t="shared" si="20"/>
        <v>0.29220781991637712</v>
      </c>
    </row>
    <row r="138" spans="1:13" x14ac:dyDescent="0.2">
      <c r="A138" t="s">
        <v>109</v>
      </c>
      <c r="B138" t="s">
        <v>259</v>
      </c>
      <c r="C138" s="1" t="s">
        <v>252</v>
      </c>
      <c r="D138" s="2">
        <v>231979</v>
      </c>
      <c r="E138" s="3">
        <v>6085</v>
      </c>
      <c r="F138" s="3">
        <v>10000</v>
      </c>
      <c r="G138" s="7">
        <f t="shared" si="18"/>
        <v>4.3107350234288445E-2</v>
      </c>
      <c r="H138" s="8">
        <v>9687</v>
      </c>
      <c r="I138" s="2">
        <v>18631</v>
      </c>
      <c r="J138" s="6">
        <f t="shared" si="19"/>
        <v>8.0313304221502804E-2</v>
      </c>
      <c r="K138" s="3">
        <v>11681</v>
      </c>
      <c r="L138" s="3">
        <v>28685</v>
      </c>
      <c r="M138" s="4">
        <f t="shared" si="20"/>
        <v>0.12365343414705642</v>
      </c>
    </row>
    <row r="139" spans="1:13" x14ac:dyDescent="0.2">
      <c r="A139" t="s">
        <v>226</v>
      </c>
      <c r="B139" t="s">
        <v>259</v>
      </c>
      <c r="C139" s="1" t="s">
        <v>261</v>
      </c>
      <c r="D139" s="2">
        <v>18132969</v>
      </c>
      <c r="E139" s="3">
        <v>177</v>
      </c>
      <c r="F139" s="3">
        <v>0</v>
      </c>
      <c r="G139" s="7">
        <f t="shared" si="18"/>
        <v>0</v>
      </c>
      <c r="H139" s="8">
        <v>4338</v>
      </c>
      <c r="I139" s="2">
        <v>0</v>
      </c>
      <c r="J139" s="6">
        <f t="shared" si="19"/>
        <v>0</v>
      </c>
      <c r="K139" s="3">
        <v>13352</v>
      </c>
      <c r="L139" s="3">
        <v>0</v>
      </c>
      <c r="M139" s="4">
        <f t="shared" si="20"/>
        <v>0</v>
      </c>
    </row>
    <row r="140" spans="1:13" x14ac:dyDescent="0.2">
      <c r="A140" t="s">
        <v>227</v>
      </c>
      <c r="B140" t="s">
        <v>257</v>
      </c>
      <c r="C140" s="1" t="s">
        <v>258</v>
      </c>
      <c r="D140" s="2">
        <v>373875</v>
      </c>
      <c r="E140" s="3">
        <v>0</v>
      </c>
      <c r="F140" s="3">
        <v>0</v>
      </c>
      <c r="G140" s="7">
        <f t="shared" si="18"/>
        <v>0</v>
      </c>
      <c r="H140" s="8">
        <v>0</v>
      </c>
      <c r="I140" s="2">
        <v>0</v>
      </c>
      <c r="J140" s="6">
        <f t="shared" si="19"/>
        <v>0</v>
      </c>
      <c r="K140" s="3">
        <v>0</v>
      </c>
      <c r="L140" s="3">
        <v>0</v>
      </c>
      <c r="M140" s="4">
        <f t="shared" si="20"/>
        <v>0</v>
      </c>
    </row>
    <row r="141" spans="1:13" x14ac:dyDescent="0.2">
      <c r="A141" t="s">
        <v>228</v>
      </c>
      <c r="B141" t="s">
        <v>259</v>
      </c>
      <c r="C141" s="1" t="s">
        <v>252</v>
      </c>
      <c r="D141" s="2">
        <v>27680</v>
      </c>
      <c r="E141" s="3">
        <v>0</v>
      </c>
      <c r="F141" s="3">
        <v>0</v>
      </c>
      <c r="G141" s="7">
        <f t="shared" si="18"/>
        <v>0</v>
      </c>
      <c r="H141" s="8">
        <v>0</v>
      </c>
      <c r="I141" s="2">
        <v>0</v>
      </c>
      <c r="J141" s="6">
        <f t="shared" si="19"/>
        <v>0</v>
      </c>
      <c r="K141" s="3">
        <v>0</v>
      </c>
      <c r="L141" s="3">
        <v>0</v>
      </c>
      <c r="M141" s="4">
        <f t="shared" si="20"/>
        <v>0</v>
      </c>
    </row>
    <row r="142" spans="1:13" x14ac:dyDescent="0.2">
      <c r="A142" t="s">
        <v>110</v>
      </c>
      <c r="B142" t="s">
        <v>259</v>
      </c>
      <c r="C142" s="1" t="s">
        <v>258</v>
      </c>
      <c r="D142" s="2">
        <v>407088</v>
      </c>
      <c r="E142" s="3">
        <v>136743</v>
      </c>
      <c r="F142" s="3">
        <v>189953</v>
      </c>
      <c r="G142" s="7">
        <f t="shared" si="18"/>
        <v>0.46661409818024602</v>
      </c>
      <c r="H142" s="8">
        <v>156658</v>
      </c>
      <c r="I142" s="2">
        <v>214817</v>
      </c>
      <c r="J142" s="6">
        <f t="shared" si="19"/>
        <v>0.52769180128129545</v>
      </c>
      <c r="K142" s="3">
        <v>156658</v>
      </c>
      <c r="L142" s="3">
        <v>214817</v>
      </c>
      <c r="M142" s="4">
        <f t="shared" si="20"/>
        <v>0.52769180128129545</v>
      </c>
    </row>
    <row r="143" spans="1:13" x14ac:dyDescent="0.2">
      <c r="A143" t="s">
        <v>229</v>
      </c>
      <c r="B143" t="s">
        <v>259</v>
      </c>
      <c r="C143" s="1" t="s">
        <v>260</v>
      </c>
      <c r="D143" s="2">
        <v>3785170</v>
      </c>
      <c r="E143" s="3">
        <v>0</v>
      </c>
      <c r="F143" s="3">
        <v>0</v>
      </c>
      <c r="G143" s="7">
        <f t="shared" si="18"/>
        <v>0</v>
      </c>
      <c r="H143" s="8">
        <v>400</v>
      </c>
      <c r="I143" s="2">
        <v>0</v>
      </c>
      <c r="J143" s="6">
        <f t="shared" si="19"/>
        <v>0</v>
      </c>
      <c r="K143" s="3">
        <v>3504</v>
      </c>
      <c r="L143" s="3">
        <v>0</v>
      </c>
      <c r="M143" s="4">
        <f t="shared" si="20"/>
        <v>0</v>
      </c>
    </row>
    <row r="144" spans="1:13" x14ac:dyDescent="0.2">
      <c r="A144" t="s">
        <v>111</v>
      </c>
      <c r="B144" t="s">
        <v>259</v>
      </c>
      <c r="C144" s="1" t="s">
        <v>252</v>
      </c>
      <c r="D144" s="2">
        <v>1466249</v>
      </c>
      <c r="E144" s="3">
        <v>46164</v>
      </c>
      <c r="F144" s="3">
        <v>122431</v>
      </c>
      <c r="G144" s="7">
        <f t="shared" si="18"/>
        <v>8.3499460187185126E-2</v>
      </c>
      <c r="H144" s="8">
        <v>139440</v>
      </c>
      <c r="I144" s="2">
        <v>324311</v>
      </c>
      <c r="J144" s="6">
        <f t="shared" si="19"/>
        <v>0.22118412356973474</v>
      </c>
      <c r="K144" s="3">
        <v>140814</v>
      </c>
      <c r="L144" s="3">
        <v>325974</v>
      </c>
      <c r="M144" s="4">
        <f t="shared" si="20"/>
        <v>0.22231831019151591</v>
      </c>
    </row>
    <row r="145" spans="1:13" x14ac:dyDescent="0.2">
      <c r="A145" t="s">
        <v>112</v>
      </c>
      <c r="B145" t="s">
        <v>259</v>
      </c>
      <c r="C145" s="1" t="s">
        <v>252</v>
      </c>
      <c r="D145" s="2">
        <v>222350</v>
      </c>
      <c r="E145" s="3">
        <v>91632</v>
      </c>
      <c r="F145" s="3">
        <v>62432</v>
      </c>
      <c r="G145" s="7">
        <f t="shared" si="18"/>
        <v>0.28078255003373059</v>
      </c>
      <c r="H145" s="8">
        <v>93069</v>
      </c>
      <c r="I145" s="2">
        <v>63849</v>
      </c>
      <c r="J145" s="6">
        <f t="shared" si="19"/>
        <v>0.28715538565324938</v>
      </c>
      <c r="K145" s="3">
        <v>93069</v>
      </c>
      <c r="L145" s="3">
        <v>63849</v>
      </c>
      <c r="M145" s="4">
        <f t="shared" si="20"/>
        <v>0.28715538565324938</v>
      </c>
    </row>
    <row r="146" spans="1:13" x14ac:dyDescent="0.2">
      <c r="A146" t="s">
        <v>113</v>
      </c>
      <c r="B146" t="s">
        <v>259</v>
      </c>
      <c r="C146" s="1" t="s">
        <v>252</v>
      </c>
      <c r="D146" s="2">
        <v>129009400</v>
      </c>
      <c r="E146" s="3">
        <v>15107016</v>
      </c>
      <c r="F146" s="3">
        <v>13241478</v>
      </c>
      <c r="G146" s="7">
        <f t="shared" si="18"/>
        <v>0.10263963711171434</v>
      </c>
      <c r="H146" s="8">
        <v>28876813</v>
      </c>
      <c r="I146" s="2">
        <v>27653404</v>
      </c>
      <c r="J146" s="6">
        <f t="shared" si="19"/>
        <v>0.21435185343083527</v>
      </c>
      <c r="K146" s="3">
        <v>35084025</v>
      </c>
      <c r="L146" s="3">
        <v>34229848</v>
      </c>
      <c r="M146" s="4">
        <f t="shared" si="20"/>
        <v>0.26532832491275832</v>
      </c>
    </row>
    <row r="147" spans="1:13" x14ac:dyDescent="0.2">
      <c r="A147" t="s">
        <v>114</v>
      </c>
      <c r="B147" t="s">
        <v>257</v>
      </c>
      <c r="C147" s="1" t="s">
        <v>260</v>
      </c>
      <c r="D147" s="2">
        <v>100224</v>
      </c>
      <c r="E147" s="3">
        <v>10715</v>
      </c>
      <c r="F147" s="3">
        <v>10091</v>
      </c>
      <c r="G147" s="7">
        <f t="shared" si="18"/>
        <v>0.10068446679438059</v>
      </c>
      <c r="H147" s="8">
        <v>12918</v>
      </c>
      <c r="I147" s="2">
        <v>10858</v>
      </c>
      <c r="J147" s="6">
        <f t="shared" si="19"/>
        <v>0.10833732439335887</v>
      </c>
      <c r="K147" s="3">
        <v>12918</v>
      </c>
      <c r="L147" s="3">
        <v>10858</v>
      </c>
      <c r="M147" s="4">
        <f t="shared" si="20"/>
        <v>0.10833732439335887</v>
      </c>
    </row>
    <row r="148" spans="1:13" x14ac:dyDescent="0.2">
      <c r="A148" t="s">
        <v>115</v>
      </c>
      <c r="B148" t="s">
        <v>257</v>
      </c>
      <c r="C148" s="1" t="s">
        <v>260</v>
      </c>
      <c r="D148" s="2">
        <v>3020722</v>
      </c>
      <c r="E148" s="3">
        <v>213553</v>
      </c>
      <c r="F148" s="3">
        <v>378250</v>
      </c>
      <c r="G148" s="7">
        <f t="shared" si="18"/>
        <v>0.12521840804946632</v>
      </c>
      <c r="H148" s="8">
        <v>938600</v>
      </c>
      <c r="I148" s="2">
        <v>1753115</v>
      </c>
      <c r="J148" s="6">
        <f t="shared" si="19"/>
        <v>0.58036290661636525</v>
      </c>
      <c r="K148" s="3">
        <v>1039146</v>
      </c>
      <c r="L148" s="3">
        <v>1902519</v>
      </c>
      <c r="M148" s="4">
        <f t="shared" si="20"/>
        <v>0.62982260532415757</v>
      </c>
    </row>
    <row r="149" spans="1:13" x14ac:dyDescent="0.2">
      <c r="A149" t="s">
        <v>230</v>
      </c>
      <c r="B149" t="s">
        <v>257</v>
      </c>
      <c r="C149" s="1" t="s">
        <v>258</v>
      </c>
      <c r="D149" s="2">
        <v>6260</v>
      </c>
      <c r="E149" s="3">
        <v>0</v>
      </c>
      <c r="F149" s="3">
        <v>0</v>
      </c>
      <c r="G149" s="7">
        <f t="shared" si="18"/>
        <v>0</v>
      </c>
      <c r="H149" s="8">
        <v>1443</v>
      </c>
      <c r="I149" s="2">
        <v>854</v>
      </c>
      <c r="J149" s="6">
        <f t="shared" si="19"/>
        <v>0.13642172523961663</v>
      </c>
      <c r="K149" s="3">
        <v>1443</v>
      </c>
      <c r="L149" s="3">
        <v>854</v>
      </c>
      <c r="M149" s="4">
        <f t="shared" si="20"/>
        <v>0.13642172523961663</v>
      </c>
    </row>
    <row r="150" spans="1:13" x14ac:dyDescent="0.2">
      <c r="A150" t="s">
        <v>116</v>
      </c>
      <c r="B150" t="s">
        <v>257</v>
      </c>
      <c r="C150" s="1" t="s">
        <v>260</v>
      </c>
      <c r="D150" s="2">
        <v>2549499</v>
      </c>
      <c r="E150" s="3">
        <v>24346</v>
      </c>
      <c r="F150" s="3">
        <v>13297</v>
      </c>
      <c r="G150" s="7">
        <f t="shared" si="18"/>
        <v>5.2155345030533446E-3</v>
      </c>
      <c r="H150" s="8">
        <v>152596</v>
      </c>
      <c r="I150" s="2">
        <v>139828</v>
      </c>
      <c r="J150" s="6">
        <f t="shared" si="19"/>
        <v>5.4845285289384309E-2</v>
      </c>
      <c r="K150" s="3">
        <v>306464</v>
      </c>
      <c r="L150" s="3">
        <v>344193</v>
      </c>
      <c r="M150" s="4">
        <f t="shared" si="20"/>
        <v>0.13500417140779425</v>
      </c>
    </row>
    <row r="151" spans="1:13" x14ac:dyDescent="0.2">
      <c r="A151" t="s">
        <v>117</v>
      </c>
      <c r="B151" t="s">
        <v>259</v>
      </c>
      <c r="C151" s="1" t="s">
        <v>252</v>
      </c>
      <c r="D151" s="2">
        <v>585970</v>
      </c>
      <c r="E151" s="3">
        <v>132230</v>
      </c>
      <c r="F151" s="3">
        <v>181124</v>
      </c>
      <c r="G151" s="7">
        <f t="shared" si="18"/>
        <v>0.30910114852296194</v>
      </c>
      <c r="H151" s="8">
        <v>231054</v>
      </c>
      <c r="I151" s="2">
        <v>311631</v>
      </c>
      <c r="J151" s="6">
        <f t="shared" si="19"/>
        <v>0.53182074167619497</v>
      </c>
      <c r="K151" s="3">
        <v>240140</v>
      </c>
      <c r="L151" s="3">
        <v>325191</v>
      </c>
      <c r="M151" s="4">
        <f t="shared" si="20"/>
        <v>0.55496185811560317</v>
      </c>
    </row>
    <row r="152" spans="1:13" x14ac:dyDescent="0.2">
      <c r="A152" t="s">
        <v>118</v>
      </c>
      <c r="B152" t="s">
        <v>259</v>
      </c>
      <c r="C152" s="1" t="s">
        <v>231</v>
      </c>
      <c r="D152" s="2">
        <v>4802</v>
      </c>
      <c r="E152" s="3">
        <v>3910</v>
      </c>
      <c r="F152" s="3">
        <v>4701</v>
      </c>
      <c r="G152" s="7">
        <f t="shared" si="18"/>
        <v>0.97896709704289875</v>
      </c>
      <c r="H152" s="8">
        <v>5962</v>
      </c>
      <c r="I152" s="2">
        <v>4730</v>
      </c>
      <c r="J152" s="6">
        <f t="shared" si="19"/>
        <v>0.985006247396918</v>
      </c>
      <c r="K152" s="3">
        <v>5962</v>
      </c>
      <c r="L152" s="3">
        <v>4730</v>
      </c>
      <c r="M152" s="4">
        <f t="shared" si="20"/>
        <v>0.985006247396918</v>
      </c>
    </row>
    <row r="153" spans="1:13" x14ac:dyDescent="0.2">
      <c r="A153" t="s">
        <v>119</v>
      </c>
      <c r="B153" t="s">
        <v>257</v>
      </c>
      <c r="C153" s="1" t="s">
        <v>260</v>
      </c>
      <c r="D153" s="2">
        <v>32353555</v>
      </c>
      <c r="E153" s="3">
        <v>588790</v>
      </c>
      <c r="F153" s="3">
        <v>562825</v>
      </c>
      <c r="G153" s="7">
        <f t="shared" si="18"/>
        <v>1.7396079039845854E-2</v>
      </c>
      <c r="H153" s="8">
        <v>3058097</v>
      </c>
      <c r="I153" s="2">
        <v>3106470</v>
      </c>
      <c r="J153" s="6">
        <f t="shared" si="19"/>
        <v>9.6016341944494196E-2</v>
      </c>
      <c r="K153" s="3">
        <v>5813564</v>
      </c>
      <c r="L153" s="3">
        <v>5485668</v>
      </c>
      <c r="M153" s="4">
        <f t="shared" si="20"/>
        <v>0.16955379401119908</v>
      </c>
    </row>
    <row r="154" spans="1:13" x14ac:dyDescent="0.2">
      <c r="A154" t="s">
        <v>120</v>
      </c>
      <c r="B154" t="s">
        <v>259</v>
      </c>
      <c r="C154" s="1" t="s">
        <v>261</v>
      </c>
      <c r="D154" s="2">
        <v>26920089</v>
      </c>
      <c r="E154" s="3">
        <v>4615271</v>
      </c>
      <c r="F154" s="3">
        <v>3782560</v>
      </c>
      <c r="G154" s="7">
        <f t="shared" si="18"/>
        <v>0.14051067958950655</v>
      </c>
      <c r="H154" s="8">
        <v>11876019</v>
      </c>
      <c r="I154" s="2">
        <v>11595808</v>
      </c>
      <c r="J154" s="6">
        <f t="shared" si="19"/>
        <v>0.43074924455116032</v>
      </c>
      <c r="K154" s="3">
        <v>15242759</v>
      </c>
      <c r="L154" s="3">
        <v>15745229</v>
      </c>
      <c r="M154" s="4">
        <f t="shared" si="20"/>
        <v>0.58488770226576892</v>
      </c>
    </row>
    <row r="155" spans="1:13" x14ac:dyDescent="0.2">
      <c r="A155" t="s">
        <v>121</v>
      </c>
      <c r="B155" t="s">
        <v>259</v>
      </c>
      <c r="C155" s="1" t="s">
        <v>261</v>
      </c>
      <c r="D155" s="2">
        <v>62315232</v>
      </c>
      <c r="E155" s="3">
        <v>6390749</v>
      </c>
      <c r="F155" s="3">
        <v>6408292</v>
      </c>
      <c r="G155" s="7">
        <f t="shared" si="18"/>
        <v>0.10283668686333383</v>
      </c>
      <c r="H155" s="8">
        <v>15378400</v>
      </c>
      <c r="I155" s="2">
        <v>16110501</v>
      </c>
      <c r="J155" s="6">
        <f t="shared" si="19"/>
        <v>0.25853231197149357</v>
      </c>
      <c r="K155" s="3">
        <v>20423921</v>
      </c>
      <c r="L155" s="3">
        <v>21597048</v>
      </c>
      <c r="M155" s="4">
        <f t="shared" si="20"/>
        <v>0.34657735046224331</v>
      </c>
    </row>
    <row r="156" spans="1:13" x14ac:dyDescent="0.2">
      <c r="A156" t="s">
        <v>122</v>
      </c>
      <c r="B156" t="s">
        <v>259</v>
      </c>
      <c r="C156" s="1" t="s">
        <v>252</v>
      </c>
      <c r="D156" s="2">
        <v>2372072</v>
      </c>
      <c r="E156" s="3">
        <v>435</v>
      </c>
      <c r="F156" s="3">
        <v>140</v>
      </c>
      <c r="G156" s="7">
        <f t="shared" si="18"/>
        <v>5.9020130923513283E-5</v>
      </c>
      <c r="H156" s="8">
        <v>7875</v>
      </c>
      <c r="I156" s="2">
        <v>2164</v>
      </c>
      <c r="J156" s="6">
        <f t="shared" si="19"/>
        <v>9.1228259513201956E-4</v>
      </c>
      <c r="K156" s="3">
        <v>31099</v>
      </c>
      <c r="L156" s="3">
        <v>6183</v>
      </c>
      <c r="M156" s="4">
        <f t="shared" si="20"/>
        <v>2.6065819250005902E-3</v>
      </c>
    </row>
    <row r="157" spans="1:13" x14ac:dyDescent="0.2">
      <c r="A157" t="s">
        <v>232</v>
      </c>
      <c r="B157" t="s">
        <v>259</v>
      </c>
      <c r="C157" s="1" t="s">
        <v>231</v>
      </c>
      <c r="D157" s="2">
        <v>6421</v>
      </c>
      <c r="E157" s="3">
        <v>0</v>
      </c>
      <c r="F157" s="3">
        <v>0</v>
      </c>
      <c r="G157" s="7">
        <f t="shared" si="18"/>
        <v>0</v>
      </c>
      <c r="H157" s="8">
        <v>0</v>
      </c>
      <c r="I157" s="2">
        <v>0</v>
      </c>
      <c r="J157" s="6">
        <f t="shared" si="19"/>
        <v>0</v>
      </c>
      <c r="K157" s="3">
        <v>0</v>
      </c>
      <c r="L157" s="3">
        <v>0</v>
      </c>
      <c r="M157" s="4">
        <f t="shared" si="20"/>
        <v>0</v>
      </c>
    </row>
    <row r="158" spans="1:13" x14ac:dyDescent="0.2">
      <c r="A158" t="s">
        <v>123</v>
      </c>
      <c r="B158" t="s">
        <v>257</v>
      </c>
      <c r="C158" s="1" t="s">
        <v>261</v>
      </c>
      <c r="D158" s="2">
        <v>32046109</v>
      </c>
      <c r="E158" s="3">
        <v>4364152</v>
      </c>
      <c r="F158" s="3">
        <v>5919882</v>
      </c>
      <c r="G158" s="7">
        <f t="shared" si="18"/>
        <v>0.18473013369579439</v>
      </c>
      <c r="H158" s="8">
        <v>8192035</v>
      </c>
      <c r="I158" s="2">
        <v>11014998</v>
      </c>
      <c r="J158" s="6">
        <f t="shared" si="19"/>
        <v>0.3437234142840867</v>
      </c>
      <c r="K158" s="3">
        <v>9559437</v>
      </c>
      <c r="L158" s="3">
        <v>12494453</v>
      </c>
      <c r="M158" s="4">
        <f t="shared" si="20"/>
        <v>0.3898898615117361</v>
      </c>
    </row>
    <row r="159" spans="1:13" x14ac:dyDescent="0.2">
      <c r="A159" t="s">
        <v>124</v>
      </c>
      <c r="B159" t="s">
        <v>257</v>
      </c>
      <c r="C159" s="1" t="s">
        <v>258</v>
      </c>
      <c r="D159" s="2">
        <v>12420416</v>
      </c>
      <c r="E159" s="3">
        <v>1805857</v>
      </c>
      <c r="F159" s="3">
        <v>1752901</v>
      </c>
      <c r="G159" s="7">
        <f t="shared" si="18"/>
        <v>0.14113061913546213</v>
      </c>
      <c r="H159" s="8">
        <v>4748368</v>
      </c>
      <c r="I159" s="2">
        <v>4799281</v>
      </c>
      <c r="J159" s="6">
        <f t="shared" si="19"/>
        <v>0.38640259714328407</v>
      </c>
      <c r="K159" s="3">
        <v>4857773</v>
      </c>
      <c r="L159" s="3">
        <v>4900072</v>
      </c>
      <c r="M159" s="4">
        <f t="shared" si="20"/>
        <v>0.39451754272964773</v>
      </c>
    </row>
    <row r="160" spans="1:13" x14ac:dyDescent="0.2">
      <c r="A160" t="s">
        <v>125</v>
      </c>
      <c r="B160" t="s">
        <v>259</v>
      </c>
      <c r="C160" s="1" t="s">
        <v>258</v>
      </c>
      <c r="D160" s="2">
        <v>272785</v>
      </c>
      <c r="E160" s="3">
        <v>91958</v>
      </c>
      <c r="F160" s="3">
        <v>89350</v>
      </c>
      <c r="G160" s="7">
        <f t="shared" si="18"/>
        <v>0.32754733581391937</v>
      </c>
      <c r="H160" s="8">
        <v>125760</v>
      </c>
      <c r="I160" s="2">
        <v>164041</v>
      </c>
      <c r="J160" s="6">
        <f t="shared" si="19"/>
        <v>0.60135637956632515</v>
      </c>
      <c r="K160" s="3">
        <v>126140</v>
      </c>
      <c r="L160" s="3">
        <v>164280</v>
      </c>
      <c r="M160" s="4">
        <f t="shared" si="20"/>
        <v>0.60223252744835676</v>
      </c>
    </row>
    <row r="161" spans="1:13" x14ac:dyDescent="0.2">
      <c r="A161" t="s">
        <v>126</v>
      </c>
      <c r="B161" t="s">
        <v>257</v>
      </c>
      <c r="C161" s="1" t="s">
        <v>258</v>
      </c>
      <c r="D161" s="2">
        <v>3929641</v>
      </c>
      <c r="E161" s="3">
        <v>479017</v>
      </c>
      <c r="F161" s="3">
        <v>787519</v>
      </c>
      <c r="G161" s="7">
        <f t="shared" si="18"/>
        <v>0.20040482069481666</v>
      </c>
      <c r="H161" s="8">
        <v>1156945</v>
      </c>
      <c r="I161" s="2">
        <v>2019667</v>
      </c>
      <c r="J161" s="6">
        <f t="shared" si="19"/>
        <v>0.51395712738135624</v>
      </c>
      <c r="K161" s="3">
        <v>1207254</v>
      </c>
      <c r="L161" s="3">
        <v>2099054</v>
      </c>
      <c r="M161" s="4">
        <f t="shared" si="20"/>
        <v>0.53415922726783438</v>
      </c>
    </row>
    <row r="162" spans="1:13" x14ac:dyDescent="0.2">
      <c r="A162" t="s">
        <v>127</v>
      </c>
      <c r="B162" t="s">
        <v>259</v>
      </c>
      <c r="C162" s="1" t="s">
        <v>260</v>
      </c>
      <c r="D162" s="2">
        <v>6651044</v>
      </c>
      <c r="E162" s="3">
        <v>2072171</v>
      </c>
      <c r="F162" s="3">
        <v>2260038</v>
      </c>
      <c r="G162" s="7">
        <f t="shared" si="18"/>
        <v>0.33980199198802474</v>
      </c>
      <c r="H162" s="8">
        <v>2881254</v>
      </c>
      <c r="I162" s="2">
        <v>3144295</v>
      </c>
      <c r="J162" s="6">
        <f t="shared" si="19"/>
        <v>0.47275209726473016</v>
      </c>
      <c r="K162" s="3">
        <v>2885367</v>
      </c>
      <c r="L162" s="3">
        <v>3148466</v>
      </c>
      <c r="M162" s="4">
        <f t="shared" si="20"/>
        <v>0.47337921685678219</v>
      </c>
    </row>
    <row r="163" spans="1:13" x14ac:dyDescent="0.2">
      <c r="A163" t="s">
        <v>233</v>
      </c>
      <c r="B163" t="s">
        <v>259</v>
      </c>
      <c r="C163" s="1" t="s">
        <v>261</v>
      </c>
      <c r="D163" s="2">
        <v>19350563</v>
      </c>
      <c r="E163" s="3">
        <v>0</v>
      </c>
      <c r="F163" s="3">
        <v>0</v>
      </c>
      <c r="G163" s="7">
        <f t="shared" si="18"/>
        <v>0</v>
      </c>
      <c r="H163" s="8">
        <v>0</v>
      </c>
      <c r="I163" s="2">
        <v>0</v>
      </c>
      <c r="J163" s="6">
        <f t="shared" si="19"/>
        <v>0</v>
      </c>
      <c r="K163" s="3">
        <v>0</v>
      </c>
      <c r="L163" s="3">
        <v>0</v>
      </c>
      <c r="M163" s="4">
        <f t="shared" si="20"/>
        <v>0</v>
      </c>
    </row>
    <row r="164" spans="1:13" x14ac:dyDescent="0.2">
      <c r="A164" t="s">
        <v>128</v>
      </c>
      <c r="B164" t="s">
        <v>259</v>
      </c>
      <c r="C164" s="1" t="s">
        <v>260</v>
      </c>
      <c r="D164" s="2">
        <v>202628323</v>
      </c>
      <c r="E164" s="3">
        <v>9010382</v>
      </c>
      <c r="F164" s="3">
        <v>7858975</v>
      </c>
      <c r="G164" s="7">
        <f t="shared" si="18"/>
        <v>3.8785175160335313E-2</v>
      </c>
      <c r="H164" s="8">
        <v>18344721</v>
      </c>
      <c r="I164" s="2">
        <v>17527910</v>
      </c>
      <c r="J164" s="6">
        <f t="shared" si="19"/>
        <v>8.6502763979347544E-2</v>
      </c>
      <c r="K164" s="3">
        <v>23957805</v>
      </c>
      <c r="L164" s="3">
        <v>23973743</v>
      </c>
      <c r="M164" s="4">
        <f t="shared" si="20"/>
        <v>0.11831387954585204</v>
      </c>
    </row>
    <row r="165" spans="1:13" x14ac:dyDescent="0.2">
      <c r="A165" t="s">
        <v>234</v>
      </c>
      <c r="B165" t="s">
        <v>259</v>
      </c>
      <c r="C165" s="1" t="s">
        <v>231</v>
      </c>
      <c r="D165" s="2">
        <v>1057</v>
      </c>
      <c r="E165" s="3">
        <v>0</v>
      </c>
      <c r="F165" s="3">
        <v>0</v>
      </c>
      <c r="G165" s="7">
        <f t="shared" si="18"/>
        <v>0</v>
      </c>
      <c r="H165" s="8">
        <v>0</v>
      </c>
      <c r="I165" s="2">
        <v>0</v>
      </c>
      <c r="J165" s="6">
        <f t="shared" si="19"/>
        <v>0</v>
      </c>
      <c r="K165" s="3">
        <v>0</v>
      </c>
      <c r="L165" s="3">
        <v>0</v>
      </c>
      <c r="M165" s="4">
        <f t="shared" si="20"/>
        <v>0</v>
      </c>
    </row>
    <row r="166" spans="1:13" x14ac:dyDescent="0.2">
      <c r="A166" t="s">
        <v>235</v>
      </c>
      <c r="B166" t="s">
        <v>257</v>
      </c>
      <c r="C166" s="1" t="s">
        <v>231</v>
      </c>
      <c r="D166" s="2">
        <v>2070</v>
      </c>
      <c r="E166" s="3">
        <v>0</v>
      </c>
      <c r="F166" s="3">
        <v>0</v>
      </c>
      <c r="G166" s="7">
        <f t="shared" ref="G166:G176" si="21">F166/D166</f>
        <v>0</v>
      </c>
      <c r="H166" s="8">
        <v>0</v>
      </c>
      <c r="I166" s="2">
        <v>0</v>
      </c>
      <c r="J166" s="6">
        <f t="shared" ref="J166:J176" si="22">I166/D166</f>
        <v>0</v>
      </c>
      <c r="K166" s="3">
        <v>0</v>
      </c>
      <c r="L166" s="3">
        <v>0</v>
      </c>
      <c r="M166" s="4">
        <f t="shared" ref="M166:M176" si="23">L166/D166</f>
        <v>0</v>
      </c>
    </row>
    <row r="167" spans="1:13" x14ac:dyDescent="0.2">
      <c r="A167" t="s">
        <v>129</v>
      </c>
      <c r="B167" t="s">
        <v>257</v>
      </c>
      <c r="C167" s="1" t="s">
        <v>261</v>
      </c>
      <c r="D167" s="2">
        <v>22551102</v>
      </c>
      <c r="E167" s="3">
        <v>1593421</v>
      </c>
      <c r="F167" s="3">
        <v>1579765</v>
      </c>
      <c r="G167" s="7">
        <f t="shared" si="21"/>
        <v>7.0052674144261334E-2</v>
      </c>
      <c r="H167" s="8">
        <v>5075902</v>
      </c>
      <c r="I167" s="2">
        <v>5530868</v>
      </c>
      <c r="J167" s="6">
        <f t="shared" si="22"/>
        <v>0.24525932258210709</v>
      </c>
      <c r="K167" s="3">
        <v>7192573</v>
      </c>
      <c r="L167" s="3">
        <v>7575853</v>
      </c>
      <c r="M167" s="4">
        <f t="shared" si="23"/>
        <v>0.33594158724482731</v>
      </c>
    </row>
    <row r="168" spans="1:13" x14ac:dyDescent="0.2">
      <c r="A168" t="s">
        <v>130</v>
      </c>
      <c r="B168" t="s">
        <v>257</v>
      </c>
      <c r="C168" s="1" t="s">
        <v>258</v>
      </c>
      <c r="D168" s="2">
        <v>315200</v>
      </c>
      <c r="E168" s="3">
        <v>3407</v>
      </c>
      <c r="F168" s="3">
        <v>11448</v>
      </c>
      <c r="G168" s="7">
        <f t="shared" si="21"/>
        <v>3.6319796954314719E-2</v>
      </c>
      <c r="H168" s="8">
        <v>32445</v>
      </c>
      <c r="I168" s="2">
        <v>65208</v>
      </c>
      <c r="J168" s="6">
        <f t="shared" si="22"/>
        <v>0.20687817258883248</v>
      </c>
      <c r="K168" s="3">
        <v>86608</v>
      </c>
      <c r="L168" s="3">
        <v>129472</v>
      </c>
      <c r="M168" s="4">
        <f t="shared" si="23"/>
        <v>0.41076142131979693</v>
      </c>
    </row>
    <row r="169" spans="1:13" x14ac:dyDescent="0.2">
      <c r="A169" t="s">
        <v>236</v>
      </c>
      <c r="B169" t="s">
        <v>257</v>
      </c>
      <c r="C169" s="1" t="s">
        <v>258</v>
      </c>
      <c r="D169" s="2">
        <v>55228</v>
      </c>
      <c r="E169" s="3">
        <v>0</v>
      </c>
      <c r="F169" s="3">
        <v>0</v>
      </c>
      <c r="G169" s="7">
        <f t="shared" si="21"/>
        <v>0</v>
      </c>
      <c r="H169" s="8">
        <v>0</v>
      </c>
      <c r="I169" s="2">
        <v>0</v>
      </c>
      <c r="J169" s="6">
        <f t="shared" si="22"/>
        <v>0</v>
      </c>
      <c r="K169" s="3">
        <v>0</v>
      </c>
      <c r="L169" s="3">
        <v>0</v>
      </c>
      <c r="M169" s="4">
        <f t="shared" si="23"/>
        <v>0</v>
      </c>
    </row>
    <row r="170" spans="1:13" x14ac:dyDescent="0.2">
      <c r="A170" t="s">
        <v>131</v>
      </c>
      <c r="B170" t="s">
        <v>257</v>
      </c>
      <c r="C170" s="1" t="s">
        <v>258</v>
      </c>
      <c r="D170" s="2">
        <v>2666730</v>
      </c>
      <c r="E170" s="3">
        <v>1347293</v>
      </c>
      <c r="F170" s="3">
        <v>1656163</v>
      </c>
      <c r="G170" s="7">
        <f t="shared" si="21"/>
        <v>0.62104637514859018</v>
      </c>
      <c r="H170" s="8">
        <v>1683544</v>
      </c>
      <c r="I170" s="2">
        <v>2028663</v>
      </c>
      <c r="J170" s="6">
        <f t="shared" si="22"/>
        <v>0.76073055764925579</v>
      </c>
      <c r="K170" s="3">
        <v>1700383</v>
      </c>
      <c r="L170" s="3">
        <v>2029837</v>
      </c>
      <c r="M170" s="4">
        <f t="shared" si="23"/>
        <v>0.76117079719356662</v>
      </c>
    </row>
    <row r="171" spans="1:13" x14ac:dyDescent="0.2">
      <c r="A171" t="s">
        <v>237</v>
      </c>
      <c r="B171" t="s">
        <v>259</v>
      </c>
      <c r="C171" s="1" t="s">
        <v>258</v>
      </c>
      <c r="D171" s="2">
        <v>3358298</v>
      </c>
      <c r="E171" s="3">
        <v>0</v>
      </c>
      <c r="F171" s="3">
        <v>0</v>
      </c>
      <c r="G171" s="7">
        <f t="shared" si="21"/>
        <v>0</v>
      </c>
      <c r="H171" s="8">
        <v>0</v>
      </c>
      <c r="I171" s="2">
        <v>0</v>
      </c>
      <c r="J171" s="6">
        <f t="shared" si="22"/>
        <v>0</v>
      </c>
      <c r="K171" s="3">
        <v>0</v>
      </c>
      <c r="L171" s="3">
        <v>0</v>
      </c>
      <c r="M171" s="4">
        <f t="shared" si="23"/>
        <v>0</v>
      </c>
    </row>
    <row r="172" spans="1:13" x14ac:dyDescent="0.2">
      <c r="A172" t="s">
        <v>132</v>
      </c>
      <c r="B172" t="s">
        <v>257</v>
      </c>
      <c r="C172" s="1" t="s">
        <v>260</v>
      </c>
      <c r="D172" s="2">
        <v>198110135</v>
      </c>
      <c r="E172" s="3">
        <v>789342</v>
      </c>
      <c r="F172" s="3">
        <v>2655653</v>
      </c>
      <c r="G172" s="7">
        <f t="shared" si="21"/>
        <v>1.3404932564404138E-2</v>
      </c>
      <c r="H172" s="8">
        <v>3282540</v>
      </c>
      <c r="I172" s="2">
        <v>7962632</v>
      </c>
      <c r="J172" s="6">
        <f t="shared" si="22"/>
        <v>4.0192956306854266E-2</v>
      </c>
      <c r="K172" s="3">
        <v>5842208</v>
      </c>
      <c r="L172" s="3">
        <v>10647675</v>
      </c>
      <c r="M172" s="4">
        <f t="shared" si="23"/>
        <v>5.3746240695863437E-2</v>
      </c>
    </row>
    <row r="173" spans="1:13" x14ac:dyDescent="0.2">
      <c r="A173" t="s">
        <v>133</v>
      </c>
      <c r="B173" t="s">
        <v>257</v>
      </c>
      <c r="C173" s="1" t="s">
        <v>252</v>
      </c>
      <c r="D173" s="2">
        <v>21484</v>
      </c>
      <c r="E173" s="3">
        <v>15079</v>
      </c>
      <c r="F173" s="3">
        <v>9060</v>
      </c>
      <c r="G173" s="7">
        <f t="shared" si="21"/>
        <v>0.42170917892385029</v>
      </c>
      <c r="H173" s="8">
        <v>15156</v>
      </c>
      <c r="I173" s="2">
        <v>10100</v>
      </c>
      <c r="J173" s="6">
        <f t="shared" si="22"/>
        <v>0.47011729659281326</v>
      </c>
      <c r="K173" s="3">
        <v>15156</v>
      </c>
      <c r="L173" s="3">
        <v>10108</v>
      </c>
      <c r="M173" s="4">
        <f t="shared" si="23"/>
        <v>0.47048966672872833</v>
      </c>
    </row>
    <row r="174" spans="1:13" x14ac:dyDescent="0.2">
      <c r="A174" t="s">
        <v>134</v>
      </c>
      <c r="B174" t="s">
        <v>257</v>
      </c>
      <c r="C174" s="1" t="s">
        <v>260</v>
      </c>
      <c r="D174" s="2">
        <v>4410136</v>
      </c>
      <c r="E174" s="3">
        <v>12478</v>
      </c>
      <c r="F174" s="3">
        <v>5083</v>
      </c>
      <c r="G174" s="7">
        <f t="shared" si="21"/>
        <v>1.1525721655749391E-3</v>
      </c>
      <c r="H174" s="8">
        <v>159448</v>
      </c>
      <c r="I174" s="2">
        <v>81520</v>
      </c>
      <c r="J174" s="6">
        <f t="shared" si="22"/>
        <v>1.848469072155598E-2</v>
      </c>
      <c r="K174" s="3">
        <v>475429</v>
      </c>
      <c r="L174" s="3">
        <v>362690</v>
      </c>
      <c r="M174" s="4">
        <f t="shared" si="23"/>
        <v>8.224009418303653E-2</v>
      </c>
    </row>
    <row r="175" spans="1:13" x14ac:dyDescent="0.2">
      <c r="A175" t="s">
        <v>135</v>
      </c>
      <c r="B175" t="s">
        <v>259</v>
      </c>
      <c r="C175" s="1" t="s">
        <v>252</v>
      </c>
      <c r="D175" s="2">
        <v>4167461</v>
      </c>
      <c r="E175" s="3">
        <v>1190034</v>
      </c>
      <c r="F175" s="3">
        <v>1148646</v>
      </c>
      <c r="G175" s="7">
        <f t="shared" si="21"/>
        <v>0.27562249532749078</v>
      </c>
      <c r="H175" s="8">
        <v>1603406</v>
      </c>
      <c r="I175" s="2">
        <v>1570728</v>
      </c>
      <c r="J175" s="6">
        <f t="shared" si="22"/>
        <v>0.37690286723738986</v>
      </c>
      <c r="K175" s="3">
        <v>1604114</v>
      </c>
      <c r="L175" s="3">
        <v>1571205</v>
      </c>
      <c r="M175" s="4">
        <f t="shared" si="23"/>
        <v>0.37701732541708249</v>
      </c>
    </row>
    <row r="176" spans="1:13" x14ac:dyDescent="0.2">
      <c r="A176" t="s">
        <v>136</v>
      </c>
      <c r="B176" t="s">
        <v>259</v>
      </c>
      <c r="C176" s="1" t="s">
        <v>260</v>
      </c>
      <c r="D176" s="2">
        <v>7375324</v>
      </c>
      <c r="E176" s="3">
        <v>3787013</v>
      </c>
      <c r="F176" s="3">
        <v>4472099</v>
      </c>
      <c r="G176" s="7">
        <f t="shared" si="21"/>
        <v>0.60635966636855543</v>
      </c>
      <c r="H176" s="8">
        <v>3985277</v>
      </c>
      <c r="I176" s="2">
        <v>4866899</v>
      </c>
      <c r="J176" s="6">
        <f t="shared" si="22"/>
        <v>0.65988951807405338</v>
      </c>
      <c r="K176" s="3">
        <v>3987140</v>
      </c>
      <c r="L176" s="3">
        <v>4873237</v>
      </c>
      <c r="M176" s="4">
        <f t="shared" si="23"/>
        <v>0.66074887015133166</v>
      </c>
    </row>
    <row r="177" spans="1:13" x14ac:dyDescent="0.2">
      <c r="A177" t="s">
        <v>238</v>
      </c>
      <c r="B177" t="s">
        <v>257</v>
      </c>
      <c r="C177" s="1" t="s">
        <v>231</v>
      </c>
      <c r="D177" s="2">
        <v>0</v>
      </c>
      <c r="E177" s="3">
        <v>0</v>
      </c>
      <c r="F177" s="3">
        <v>0</v>
      </c>
      <c r="G177" s="4">
        <v>0</v>
      </c>
      <c r="H177" s="8">
        <v>0</v>
      </c>
      <c r="I177" s="2">
        <v>0</v>
      </c>
      <c r="J177" s="6">
        <v>0</v>
      </c>
      <c r="K177" s="3">
        <v>0</v>
      </c>
      <c r="L177" s="3">
        <v>0</v>
      </c>
      <c r="M177" s="4">
        <v>0</v>
      </c>
    </row>
    <row r="178" spans="1:13" x14ac:dyDescent="0.2">
      <c r="A178" t="s">
        <v>137</v>
      </c>
      <c r="B178" t="s">
        <v>259</v>
      </c>
      <c r="C178" s="1" t="s">
        <v>260</v>
      </c>
      <c r="D178" s="2">
        <v>7112752</v>
      </c>
      <c r="E178" s="3">
        <v>1905447</v>
      </c>
      <c r="F178" s="3">
        <v>2043598</v>
      </c>
      <c r="G178" s="7">
        <f t="shared" ref="G178:G212" si="24">F178/D178</f>
        <v>0.2873146708896922</v>
      </c>
      <c r="H178" s="8">
        <v>3037967</v>
      </c>
      <c r="I178" s="2">
        <v>3355833</v>
      </c>
      <c r="J178" s="6">
        <f t="shared" ref="J178:J212" si="25">I178/D178</f>
        <v>0.47180514658742495</v>
      </c>
      <c r="K178" s="3">
        <v>3071373</v>
      </c>
      <c r="L178" s="3">
        <v>3390230</v>
      </c>
      <c r="M178" s="4">
        <f t="shared" ref="M178:M212" si="26">L178/D178</f>
        <v>0.47664110881414112</v>
      </c>
    </row>
    <row r="179" spans="1:13" x14ac:dyDescent="0.2">
      <c r="A179" t="s">
        <v>138</v>
      </c>
      <c r="B179" t="s">
        <v>259</v>
      </c>
      <c r="C179" s="1" t="s">
        <v>252</v>
      </c>
      <c r="D179" s="2">
        <v>34910119</v>
      </c>
      <c r="E179" s="3">
        <v>3810147</v>
      </c>
      <c r="F179" s="3">
        <v>3209776</v>
      </c>
      <c r="G179" s="7">
        <f t="shared" si="24"/>
        <v>9.1944000534630088E-2</v>
      </c>
      <c r="H179" s="8">
        <v>6253541</v>
      </c>
      <c r="I179" s="2">
        <v>6334281</v>
      </c>
      <c r="J179" s="6">
        <f t="shared" si="25"/>
        <v>0.18144541415055043</v>
      </c>
      <c r="K179" s="3">
        <v>7939446</v>
      </c>
      <c r="L179" s="3">
        <v>8087544</v>
      </c>
      <c r="M179" s="4">
        <f t="shared" si="26"/>
        <v>0.23166761476808487</v>
      </c>
    </row>
    <row r="180" spans="1:13" x14ac:dyDescent="0.2">
      <c r="A180" t="s">
        <v>139</v>
      </c>
      <c r="B180" t="s">
        <v>259</v>
      </c>
      <c r="C180" s="1" t="s">
        <v>260</v>
      </c>
      <c r="D180" s="2">
        <v>120512131</v>
      </c>
      <c r="E180" s="3">
        <v>20999437</v>
      </c>
      <c r="F180" s="3">
        <v>23730678</v>
      </c>
      <c r="G180" s="7">
        <f t="shared" si="24"/>
        <v>0.19691526324432848</v>
      </c>
      <c r="H180" s="8">
        <v>28369847</v>
      </c>
      <c r="I180" s="2">
        <v>34864362</v>
      </c>
      <c r="J180" s="6">
        <f t="shared" si="25"/>
        <v>0.28930168034286941</v>
      </c>
      <c r="K180" s="3">
        <v>28691310</v>
      </c>
      <c r="L180" s="3">
        <v>35442452</v>
      </c>
      <c r="M180" s="4">
        <f t="shared" si="26"/>
        <v>0.29409862480981269</v>
      </c>
    </row>
    <row r="181" spans="1:13" x14ac:dyDescent="0.2">
      <c r="A181" t="s">
        <v>239</v>
      </c>
      <c r="B181" t="s">
        <v>259</v>
      </c>
      <c r="C181" s="1" t="s">
        <v>231</v>
      </c>
      <c r="D181" s="2">
        <v>14</v>
      </c>
      <c r="E181" s="3">
        <v>0</v>
      </c>
      <c r="F181" s="3">
        <v>0</v>
      </c>
      <c r="G181" s="7">
        <f t="shared" si="24"/>
        <v>0</v>
      </c>
      <c r="H181" s="8">
        <v>0</v>
      </c>
      <c r="I181" s="2">
        <v>0</v>
      </c>
      <c r="J181" s="6">
        <f t="shared" si="25"/>
        <v>0</v>
      </c>
      <c r="K181" s="3">
        <v>0</v>
      </c>
      <c r="L181" s="3">
        <v>0</v>
      </c>
      <c r="M181" s="4">
        <f t="shared" si="26"/>
        <v>0</v>
      </c>
    </row>
    <row r="182" spans="1:13" x14ac:dyDescent="0.2">
      <c r="A182" t="s">
        <v>140</v>
      </c>
      <c r="B182" t="s">
        <v>257</v>
      </c>
      <c r="C182" s="1" t="s">
        <v>258</v>
      </c>
      <c r="D182" s="2">
        <v>28647650</v>
      </c>
      <c r="E182" s="3">
        <v>7610583</v>
      </c>
      <c r="F182" s="3">
        <v>7945094</v>
      </c>
      <c r="G182" s="7">
        <f t="shared" si="24"/>
        <v>0.27733842042890078</v>
      </c>
      <c r="H182" s="8">
        <v>14505514</v>
      </c>
      <c r="I182" s="2">
        <v>16738240</v>
      </c>
      <c r="J182" s="6">
        <f t="shared" si="25"/>
        <v>0.58427968786270423</v>
      </c>
      <c r="K182" s="3">
        <v>14681297</v>
      </c>
      <c r="L182" s="3">
        <v>16919668</v>
      </c>
      <c r="M182" s="4">
        <f t="shared" si="26"/>
        <v>0.59061277277542834</v>
      </c>
    </row>
    <row r="183" spans="1:13" x14ac:dyDescent="0.2">
      <c r="A183" t="s">
        <v>141</v>
      </c>
      <c r="B183" t="s">
        <v>257</v>
      </c>
      <c r="C183" s="1" t="s">
        <v>258</v>
      </c>
      <c r="D183" s="2">
        <v>9935736</v>
      </c>
      <c r="E183" s="3">
        <v>2280290</v>
      </c>
      <c r="F183" s="3">
        <v>2153616</v>
      </c>
      <c r="G183" s="7">
        <f t="shared" si="24"/>
        <v>0.21675455144943465</v>
      </c>
      <c r="H183" s="8">
        <v>4378611</v>
      </c>
      <c r="I183" s="2">
        <v>4781268</v>
      </c>
      <c r="J183" s="6">
        <f t="shared" si="25"/>
        <v>0.48121930775938493</v>
      </c>
      <c r="K183" s="3">
        <v>4639972</v>
      </c>
      <c r="L183" s="3">
        <v>5040687</v>
      </c>
      <c r="M183" s="4">
        <f t="shared" si="26"/>
        <v>0.50732899907968565</v>
      </c>
    </row>
    <row r="184" spans="1:13" x14ac:dyDescent="0.2">
      <c r="A184" t="s">
        <v>142</v>
      </c>
      <c r="B184" t="s">
        <v>259</v>
      </c>
      <c r="C184" s="1" t="s">
        <v>258</v>
      </c>
      <c r="D184" s="2">
        <v>4127320</v>
      </c>
      <c r="E184" s="3">
        <v>958362</v>
      </c>
      <c r="F184" s="3">
        <v>1851690</v>
      </c>
      <c r="G184" s="7">
        <f t="shared" si="24"/>
        <v>0.44864221819485767</v>
      </c>
      <c r="H184" s="8">
        <v>1232380</v>
      </c>
      <c r="I184" s="2">
        <v>2252013</v>
      </c>
      <c r="J184" s="6">
        <f t="shared" si="25"/>
        <v>0.54563566672804631</v>
      </c>
      <c r="K184" s="3">
        <v>1232384</v>
      </c>
      <c r="L184" s="3">
        <v>2252013</v>
      </c>
      <c r="M184" s="4">
        <f t="shared" si="26"/>
        <v>0.54563566672804631</v>
      </c>
    </row>
    <row r="185" spans="1:13" x14ac:dyDescent="0.2">
      <c r="A185" t="s">
        <v>240</v>
      </c>
      <c r="B185" t="s">
        <v>257</v>
      </c>
      <c r="C185" s="1" t="s">
        <v>258</v>
      </c>
      <c r="D185" s="2">
        <v>2120565</v>
      </c>
      <c r="E185" s="3">
        <v>0</v>
      </c>
      <c r="F185" s="3">
        <v>0</v>
      </c>
      <c r="G185" s="7">
        <f t="shared" si="24"/>
        <v>0</v>
      </c>
      <c r="H185" s="8">
        <v>0</v>
      </c>
      <c r="I185" s="2">
        <v>0</v>
      </c>
      <c r="J185" s="6">
        <f t="shared" si="25"/>
        <v>0</v>
      </c>
      <c r="K185" s="3">
        <v>0</v>
      </c>
      <c r="L185" s="3">
        <v>0</v>
      </c>
      <c r="M185" s="4">
        <f t="shared" si="26"/>
        <v>0</v>
      </c>
    </row>
    <row r="186" spans="1:13" x14ac:dyDescent="0.2">
      <c r="A186" t="s">
        <v>143</v>
      </c>
      <c r="B186" t="s">
        <v>259</v>
      </c>
      <c r="C186" s="1" t="s">
        <v>260</v>
      </c>
      <c r="D186" s="2">
        <v>5312132</v>
      </c>
      <c r="E186" s="3">
        <v>1253635</v>
      </c>
      <c r="F186" s="3">
        <v>1089809</v>
      </c>
      <c r="G186" s="7">
        <f t="shared" si="24"/>
        <v>0.20515472883580455</v>
      </c>
      <c r="H186" s="8">
        <v>1909493</v>
      </c>
      <c r="I186" s="2">
        <v>1743416</v>
      </c>
      <c r="J186" s="6">
        <f t="shared" si="25"/>
        <v>0.32819515780104863</v>
      </c>
      <c r="K186" s="3">
        <v>2006607</v>
      </c>
      <c r="L186" s="3">
        <v>1816579</v>
      </c>
      <c r="M186" s="4">
        <f t="shared" si="26"/>
        <v>0.3419679706754275</v>
      </c>
    </row>
    <row r="187" spans="1:13" x14ac:dyDescent="0.2">
      <c r="A187" t="s">
        <v>144</v>
      </c>
      <c r="B187" t="s">
        <v>259</v>
      </c>
      <c r="C187" s="1" t="s">
        <v>258</v>
      </c>
      <c r="D187" s="2">
        <v>903789</v>
      </c>
      <c r="E187" s="3">
        <v>45525</v>
      </c>
      <c r="F187" s="3">
        <v>192581</v>
      </c>
      <c r="G187" s="7">
        <f t="shared" si="24"/>
        <v>0.21308181445005417</v>
      </c>
      <c r="H187" s="8">
        <v>73539</v>
      </c>
      <c r="I187" s="2">
        <v>319257</v>
      </c>
      <c r="J187" s="6">
        <f t="shared" si="25"/>
        <v>0.35324284761155533</v>
      </c>
      <c r="K187" s="3">
        <v>74593</v>
      </c>
      <c r="L187" s="3">
        <v>321621</v>
      </c>
      <c r="M187" s="4">
        <f t="shared" si="26"/>
        <v>0.35585850237168187</v>
      </c>
    </row>
    <row r="188" spans="1:13" x14ac:dyDescent="0.2">
      <c r="A188" t="s">
        <v>145</v>
      </c>
      <c r="B188" t="s">
        <v>257</v>
      </c>
      <c r="C188" s="1" t="s">
        <v>252</v>
      </c>
      <c r="D188" s="2">
        <v>18427565</v>
      </c>
      <c r="E188" s="3">
        <v>2793638</v>
      </c>
      <c r="F188" s="3">
        <v>3782010</v>
      </c>
      <c r="G188" s="7">
        <f t="shared" si="24"/>
        <v>0.20523655729880752</v>
      </c>
      <c r="H188" s="8">
        <v>7570408</v>
      </c>
      <c r="I188" s="2">
        <v>9688590</v>
      </c>
      <c r="J188" s="6">
        <f t="shared" si="25"/>
        <v>0.52576615521367043</v>
      </c>
      <c r="K188" s="3">
        <v>8766105</v>
      </c>
      <c r="L188" s="3">
        <v>10858082</v>
      </c>
      <c r="M188" s="4">
        <f t="shared" si="26"/>
        <v>0.58923042735163322</v>
      </c>
    </row>
    <row r="189" spans="1:13" x14ac:dyDescent="0.2">
      <c r="A189" t="s">
        <v>146</v>
      </c>
      <c r="B189" t="s">
        <v>257</v>
      </c>
      <c r="C189" s="1" t="s">
        <v>258</v>
      </c>
      <c r="D189" s="2">
        <v>101214934</v>
      </c>
      <c r="E189" s="3">
        <v>21127989</v>
      </c>
      <c r="F189" s="3">
        <v>18149357</v>
      </c>
      <c r="G189" s="7">
        <f t="shared" si="24"/>
        <v>0.1793150109646863</v>
      </c>
      <c r="H189" s="8">
        <v>42905839</v>
      </c>
      <c r="I189" s="2">
        <v>39229583</v>
      </c>
      <c r="J189" s="6">
        <f t="shared" si="25"/>
        <v>0.38758690491266834</v>
      </c>
      <c r="K189" s="3">
        <v>46061267</v>
      </c>
      <c r="L189" s="3">
        <v>42065165</v>
      </c>
      <c r="M189" s="4">
        <f t="shared" si="26"/>
        <v>0.41560235567609027</v>
      </c>
    </row>
    <row r="190" spans="1:13" x14ac:dyDescent="0.2">
      <c r="A190" t="s">
        <v>147</v>
      </c>
      <c r="B190" t="s">
        <v>259</v>
      </c>
      <c r="C190" s="1" t="s">
        <v>261</v>
      </c>
      <c r="D190" s="2">
        <v>14217048</v>
      </c>
      <c r="E190" s="3">
        <v>1118428</v>
      </c>
      <c r="F190" s="3">
        <v>1228169</v>
      </c>
      <c r="G190" s="7">
        <f t="shared" si="24"/>
        <v>8.6387061505313903E-2</v>
      </c>
      <c r="H190" s="8">
        <v>3794658</v>
      </c>
      <c r="I190" s="2">
        <v>4709802</v>
      </c>
      <c r="J190" s="6">
        <f t="shared" si="25"/>
        <v>0.33127847637568641</v>
      </c>
      <c r="K190" s="3">
        <v>5502692</v>
      </c>
      <c r="L190" s="3">
        <v>6938814</v>
      </c>
      <c r="M190" s="4">
        <f t="shared" si="26"/>
        <v>0.48806292276708918</v>
      </c>
    </row>
    <row r="191" spans="1:13" x14ac:dyDescent="0.2">
      <c r="A191" t="s">
        <v>242</v>
      </c>
      <c r="B191" t="s">
        <v>259</v>
      </c>
      <c r="C191" s="1" t="s">
        <v>231</v>
      </c>
      <c r="D191" s="2">
        <v>1911</v>
      </c>
      <c r="E191" s="3">
        <v>0</v>
      </c>
      <c r="F191" s="3">
        <v>0</v>
      </c>
      <c r="G191" s="7">
        <f t="shared" si="24"/>
        <v>0</v>
      </c>
      <c r="H191" s="8">
        <v>0</v>
      </c>
      <c r="I191" s="2">
        <v>0</v>
      </c>
      <c r="J191" s="6">
        <f t="shared" si="25"/>
        <v>0</v>
      </c>
      <c r="K191" s="3">
        <v>0</v>
      </c>
      <c r="L191" s="3">
        <v>0</v>
      </c>
      <c r="M191" s="4">
        <f t="shared" si="26"/>
        <v>0</v>
      </c>
    </row>
    <row r="192" spans="1:13" x14ac:dyDescent="0.2">
      <c r="A192" t="s">
        <v>149</v>
      </c>
      <c r="B192" t="s">
        <v>259</v>
      </c>
      <c r="C192" s="1" t="s">
        <v>258</v>
      </c>
      <c r="D192" s="2">
        <v>50823</v>
      </c>
      <c r="E192" s="3">
        <v>12311</v>
      </c>
      <c r="F192" s="3">
        <v>12186</v>
      </c>
      <c r="G192" s="7">
        <f t="shared" si="24"/>
        <v>0.23977333097219763</v>
      </c>
      <c r="H192" s="8">
        <v>22965</v>
      </c>
      <c r="I192" s="2">
        <v>22837</v>
      </c>
      <c r="J192" s="6">
        <f t="shared" si="25"/>
        <v>0.44934380103496446</v>
      </c>
      <c r="K192" s="3">
        <v>23163</v>
      </c>
      <c r="L192" s="3">
        <v>22900</v>
      </c>
      <c r="M192" s="4">
        <f t="shared" si="26"/>
        <v>0.45058339728075869</v>
      </c>
    </row>
    <row r="193" spans="1:13" x14ac:dyDescent="0.2">
      <c r="A193" t="s">
        <v>150</v>
      </c>
      <c r="B193" t="s">
        <v>259</v>
      </c>
      <c r="C193" s="1" t="s">
        <v>252</v>
      </c>
      <c r="D193" s="2">
        <v>174294</v>
      </c>
      <c r="E193" s="3">
        <v>46816</v>
      </c>
      <c r="F193" s="3">
        <v>85443</v>
      </c>
      <c r="G193" s="7">
        <f t="shared" si="24"/>
        <v>0.49022341560811045</v>
      </c>
      <c r="H193" s="8">
        <v>50844</v>
      </c>
      <c r="I193" s="2">
        <v>91199</v>
      </c>
      <c r="J193" s="6">
        <f t="shared" si="25"/>
        <v>0.52324807509151205</v>
      </c>
      <c r="K193" s="3">
        <v>50844</v>
      </c>
      <c r="L193" s="3">
        <v>91199</v>
      </c>
      <c r="M193" s="4">
        <f t="shared" si="26"/>
        <v>0.52324807509151205</v>
      </c>
    </row>
    <row r="194" spans="1:13" x14ac:dyDescent="0.2">
      <c r="A194" t="s">
        <v>151</v>
      </c>
      <c r="B194" t="s">
        <v>257</v>
      </c>
      <c r="C194" s="1" t="s">
        <v>231</v>
      </c>
      <c r="D194" s="2">
        <v>3996</v>
      </c>
      <c r="E194" s="3">
        <v>1303</v>
      </c>
      <c r="F194" s="3">
        <v>792</v>
      </c>
      <c r="G194" s="7">
        <f t="shared" si="24"/>
        <v>0.1981981981981982</v>
      </c>
      <c r="H194" s="8">
        <v>3429</v>
      </c>
      <c r="I194" s="2">
        <v>2254</v>
      </c>
      <c r="J194" s="6">
        <f t="shared" si="25"/>
        <v>0.56406406406406406</v>
      </c>
      <c r="K194" s="3">
        <v>3443</v>
      </c>
      <c r="L194" s="3">
        <v>2255</v>
      </c>
      <c r="M194" s="4">
        <f t="shared" si="26"/>
        <v>0.56431431431431434</v>
      </c>
    </row>
    <row r="195" spans="1:13" x14ac:dyDescent="0.2">
      <c r="A195" t="s">
        <v>152</v>
      </c>
      <c r="B195" t="s">
        <v>259</v>
      </c>
      <c r="C195" s="1" t="s">
        <v>252</v>
      </c>
      <c r="D195" s="2">
        <v>112240</v>
      </c>
      <c r="E195" s="3">
        <v>33778</v>
      </c>
      <c r="F195" s="3">
        <v>47609</v>
      </c>
      <c r="G195" s="7">
        <f t="shared" si="24"/>
        <v>0.42417141838916606</v>
      </c>
      <c r="H195" s="8">
        <v>35670</v>
      </c>
      <c r="I195" s="2">
        <v>54067</v>
      </c>
      <c r="J195" s="6">
        <f t="shared" si="25"/>
        <v>0.48170883820384891</v>
      </c>
      <c r="K195" s="3">
        <v>35689</v>
      </c>
      <c r="L195" s="3">
        <v>54096</v>
      </c>
      <c r="M195" s="4">
        <f t="shared" si="26"/>
        <v>0.4819672131147541</v>
      </c>
    </row>
    <row r="196" spans="1:13" x14ac:dyDescent="0.2">
      <c r="A196" t="s">
        <v>241</v>
      </c>
      <c r="B196" t="s">
        <v>259</v>
      </c>
      <c r="C196" s="1" t="s">
        <v>231</v>
      </c>
      <c r="D196" s="2">
        <v>5182</v>
      </c>
      <c r="E196" s="3">
        <v>1623</v>
      </c>
      <c r="F196" s="3">
        <v>2063</v>
      </c>
      <c r="G196" s="7">
        <f t="shared" si="24"/>
        <v>0.39810883828637594</v>
      </c>
      <c r="H196" s="8">
        <v>2761</v>
      </c>
      <c r="I196" s="2">
        <v>5148</v>
      </c>
      <c r="J196" s="6">
        <f t="shared" si="25"/>
        <v>0.99343882670783479</v>
      </c>
      <c r="K196" s="3">
        <v>2761</v>
      </c>
      <c r="L196" s="3">
        <v>5148</v>
      </c>
      <c r="M196" s="4">
        <f t="shared" si="26"/>
        <v>0.99343882670783479</v>
      </c>
    </row>
    <row r="197" spans="1:13" x14ac:dyDescent="0.2">
      <c r="A197" t="s">
        <v>148</v>
      </c>
      <c r="B197" t="s">
        <v>259</v>
      </c>
      <c r="C197" s="1" t="s">
        <v>258</v>
      </c>
      <c r="D197" s="2">
        <v>36071</v>
      </c>
      <c r="E197" s="3">
        <v>7175</v>
      </c>
      <c r="F197" s="3">
        <v>8868</v>
      </c>
      <c r="G197" s="7">
        <f t="shared" si="24"/>
        <v>0.24584846552632308</v>
      </c>
      <c r="H197" s="8">
        <v>11881</v>
      </c>
      <c r="I197" s="2">
        <v>15471</v>
      </c>
      <c r="J197" s="6">
        <f t="shared" si="25"/>
        <v>0.42890410579135596</v>
      </c>
      <c r="K197" s="3">
        <v>11881</v>
      </c>
      <c r="L197" s="3">
        <v>15475</v>
      </c>
      <c r="M197" s="4">
        <f t="shared" si="26"/>
        <v>0.42901499819799838</v>
      </c>
    </row>
    <row r="198" spans="1:13" x14ac:dyDescent="0.2">
      <c r="A198" t="s">
        <v>243</v>
      </c>
      <c r="B198" t="s">
        <v>259</v>
      </c>
      <c r="C198" s="1" t="s">
        <v>260</v>
      </c>
      <c r="D198" s="2">
        <v>199299</v>
      </c>
      <c r="E198" s="3">
        <v>0</v>
      </c>
      <c r="F198" s="3">
        <v>0</v>
      </c>
      <c r="G198" s="7">
        <f t="shared" si="24"/>
        <v>0</v>
      </c>
      <c r="H198" s="8">
        <v>0</v>
      </c>
      <c r="I198" s="2">
        <v>0</v>
      </c>
      <c r="J198" s="6">
        <f t="shared" si="25"/>
        <v>0</v>
      </c>
      <c r="K198" s="3">
        <v>0</v>
      </c>
      <c r="L198" s="3">
        <v>0</v>
      </c>
      <c r="M198" s="4">
        <f t="shared" si="26"/>
        <v>0</v>
      </c>
    </row>
    <row r="199" spans="1:13" x14ac:dyDescent="0.2">
      <c r="A199" t="s">
        <v>153</v>
      </c>
      <c r="B199" t="s">
        <v>257</v>
      </c>
      <c r="C199" s="1" t="s">
        <v>258</v>
      </c>
      <c r="D199" s="2">
        <v>25017</v>
      </c>
      <c r="E199" s="3">
        <v>8700</v>
      </c>
      <c r="F199" s="3">
        <v>7644</v>
      </c>
      <c r="G199" s="7">
        <f t="shared" si="24"/>
        <v>0.30555222448734859</v>
      </c>
      <c r="H199" s="8">
        <v>16285</v>
      </c>
      <c r="I199" s="2">
        <v>15320</v>
      </c>
      <c r="J199" s="6">
        <f t="shared" si="25"/>
        <v>0.61238357916616704</v>
      </c>
      <c r="K199" s="3">
        <v>16891</v>
      </c>
      <c r="L199" s="3">
        <v>16630</v>
      </c>
      <c r="M199" s="4">
        <f t="shared" si="26"/>
        <v>0.66474797137946195</v>
      </c>
    </row>
    <row r="200" spans="1:13" x14ac:dyDescent="0.2">
      <c r="A200" t="s">
        <v>154</v>
      </c>
      <c r="B200" t="s">
        <v>259</v>
      </c>
      <c r="C200" s="1" t="s">
        <v>260</v>
      </c>
      <c r="D200" s="2">
        <v>221334</v>
      </c>
      <c r="E200" s="3">
        <v>28500</v>
      </c>
      <c r="F200" s="3">
        <v>11789</v>
      </c>
      <c r="G200" s="7">
        <f t="shared" si="24"/>
        <v>5.3263393784958479E-2</v>
      </c>
      <c r="H200" s="8">
        <v>52587</v>
      </c>
      <c r="I200" s="2">
        <v>26876</v>
      </c>
      <c r="J200" s="6">
        <f t="shared" si="25"/>
        <v>0.12142734509835813</v>
      </c>
      <c r="K200" s="3">
        <v>76704</v>
      </c>
      <c r="L200" s="3">
        <v>50953</v>
      </c>
      <c r="M200" s="4">
        <f t="shared" si="26"/>
        <v>0.23020864394986762</v>
      </c>
    </row>
    <row r="201" spans="1:13" x14ac:dyDescent="0.2">
      <c r="A201" t="s">
        <v>244</v>
      </c>
      <c r="B201" t="s">
        <v>259</v>
      </c>
      <c r="C201" s="1" t="s">
        <v>258</v>
      </c>
      <c r="D201" s="2">
        <v>29205502</v>
      </c>
      <c r="E201" s="3">
        <v>0</v>
      </c>
      <c r="F201" s="3">
        <v>0</v>
      </c>
      <c r="G201" s="7">
        <f t="shared" si="24"/>
        <v>0</v>
      </c>
      <c r="H201" s="8">
        <v>0</v>
      </c>
      <c r="I201" s="2">
        <v>0</v>
      </c>
      <c r="J201" s="6">
        <f t="shared" si="25"/>
        <v>0</v>
      </c>
      <c r="K201" s="3">
        <v>0</v>
      </c>
      <c r="L201" s="3">
        <v>0</v>
      </c>
      <c r="M201" s="4">
        <f t="shared" si="26"/>
        <v>0</v>
      </c>
    </row>
    <row r="202" spans="1:13" x14ac:dyDescent="0.2">
      <c r="A202" t="s">
        <v>155</v>
      </c>
      <c r="B202" t="s">
        <v>259</v>
      </c>
      <c r="C202" s="1" t="s">
        <v>260</v>
      </c>
      <c r="D202" s="2">
        <v>15164424</v>
      </c>
      <c r="E202" s="3">
        <v>4200</v>
      </c>
      <c r="F202" s="3">
        <v>4120</v>
      </c>
      <c r="G202" s="7">
        <f t="shared" si="24"/>
        <v>2.7168852572310033E-4</v>
      </c>
      <c r="H202" s="8">
        <v>56037</v>
      </c>
      <c r="I202" s="2">
        <v>31708</v>
      </c>
      <c r="J202" s="6">
        <f t="shared" si="25"/>
        <v>2.0909465469971032E-3</v>
      </c>
      <c r="K202" s="3">
        <v>130803</v>
      </c>
      <c r="L202" s="3">
        <v>91210</v>
      </c>
      <c r="M202" s="4">
        <f t="shared" si="26"/>
        <v>6.0147355415543641E-3</v>
      </c>
    </row>
    <row r="203" spans="1:13" x14ac:dyDescent="0.2">
      <c r="A203" t="s">
        <v>156</v>
      </c>
      <c r="B203" t="s">
        <v>257</v>
      </c>
      <c r="C203" s="1" t="s">
        <v>252</v>
      </c>
      <c r="D203" s="2">
        <v>6304606</v>
      </c>
      <c r="E203" s="3">
        <v>1102035</v>
      </c>
      <c r="F203" s="3">
        <v>1383316</v>
      </c>
      <c r="G203" s="7">
        <f t="shared" si="24"/>
        <v>0.2194135525677576</v>
      </c>
      <c r="H203" s="8">
        <v>2870175</v>
      </c>
      <c r="I203" s="2">
        <v>3502028</v>
      </c>
      <c r="J203" s="6">
        <f t="shared" si="25"/>
        <v>0.55547134904227169</v>
      </c>
      <c r="K203" s="3">
        <v>3238353</v>
      </c>
      <c r="L203" s="3">
        <v>3857924</v>
      </c>
      <c r="M203" s="4">
        <f t="shared" si="26"/>
        <v>0.61192150627652231</v>
      </c>
    </row>
    <row r="204" spans="1:13" x14ac:dyDescent="0.2">
      <c r="A204" t="s">
        <v>157</v>
      </c>
      <c r="B204" t="s">
        <v>259</v>
      </c>
      <c r="C204" s="1" t="s">
        <v>252</v>
      </c>
      <c r="D204" s="2">
        <v>99676</v>
      </c>
      <c r="E204" s="3">
        <v>639</v>
      </c>
      <c r="F204" s="3">
        <v>20</v>
      </c>
      <c r="G204" s="7">
        <f t="shared" si="24"/>
        <v>2.0065010634455637E-4</v>
      </c>
      <c r="H204" s="8">
        <v>1500</v>
      </c>
      <c r="I204" s="2">
        <v>39</v>
      </c>
      <c r="J204" s="6">
        <f t="shared" si="25"/>
        <v>3.9126770737188491E-4</v>
      </c>
      <c r="K204" s="3">
        <v>1579</v>
      </c>
      <c r="L204" s="3">
        <v>39</v>
      </c>
      <c r="M204" s="4">
        <f t="shared" si="26"/>
        <v>3.9126770737188491E-4</v>
      </c>
    </row>
    <row r="205" spans="1:13" x14ac:dyDescent="0.2">
      <c r="A205" t="s">
        <v>158</v>
      </c>
      <c r="B205" t="s">
        <v>259</v>
      </c>
      <c r="C205" s="1" t="s">
        <v>261</v>
      </c>
      <c r="D205" s="2">
        <v>6396556</v>
      </c>
      <c r="E205" s="3">
        <v>3656642</v>
      </c>
      <c r="F205" s="3">
        <v>2989031</v>
      </c>
      <c r="G205" s="7">
        <f t="shared" si="24"/>
        <v>0.46728755286438517</v>
      </c>
      <c r="H205" s="8">
        <v>4659093</v>
      </c>
      <c r="I205" s="2">
        <v>4064143</v>
      </c>
      <c r="J205" s="6">
        <f t="shared" si="25"/>
        <v>0.63536424913656664</v>
      </c>
      <c r="K205" s="3">
        <v>4777301</v>
      </c>
      <c r="L205" s="3">
        <v>4213964</v>
      </c>
      <c r="M205" s="4">
        <f t="shared" si="26"/>
        <v>0.65878638442311765</v>
      </c>
    </row>
    <row r="206" spans="1:13" x14ac:dyDescent="0.2">
      <c r="A206" t="s">
        <v>159</v>
      </c>
      <c r="B206" t="s">
        <v>259</v>
      </c>
      <c r="C206" s="1" t="s">
        <v>258</v>
      </c>
      <c r="D206" s="2">
        <v>6614986</v>
      </c>
      <c r="E206" s="3">
        <v>88076</v>
      </c>
      <c r="F206" s="3">
        <v>32398</v>
      </c>
      <c r="G206" s="7">
        <f t="shared" si="24"/>
        <v>4.8976672059472233E-3</v>
      </c>
      <c r="H206" s="8">
        <v>126906</v>
      </c>
      <c r="I206" s="2">
        <v>64006</v>
      </c>
      <c r="J206" s="6">
        <f t="shared" si="25"/>
        <v>9.6759086111444532E-3</v>
      </c>
      <c r="K206" s="3">
        <v>128956</v>
      </c>
      <c r="L206" s="3">
        <v>70372</v>
      </c>
      <c r="M206" s="4">
        <f t="shared" si="26"/>
        <v>1.0638268924529848E-2</v>
      </c>
    </row>
    <row r="207" spans="1:13" x14ac:dyDescent="0.2">
      <c r="A207" t="s">
        <v>160</v>
      </c>
      <c r="B207" t="s">
        <v>257</v>
      </c>
      <c r="C207" s="1" t="s">
        <v>258</v>
      </c>
      <c r="D207" s="2">
        <v>37929</v>
      </c>
      <c r="E207" s="3">
        <v>9428</v>
      </c>
      <c r="F207" s="3">
        <v>9824</v>
      </c>
      <c r="G207" s="7">
        <f t="shared" si="24"/>
        <v>0.25901025600464023</v>
      </c>
      <c r="H207" s="8">
        <v>10468</v>
      </c>
      <c r="I207" s="2">
        <v>13449</v>
      </c>
      <c r="J207" s="6">
        <f t="shared" si="25"/>
        <v>0.35458356402752511</v>
      </c>
      <c r="K207" s="3">
        <v>10468</v>
      </c>
      <c r="L207" s="3">
        <v>13449</v>
      </c>
      <c r="M207" s="4">
        <f t="shared" si="26"/>
        <v>0.35458356402752511</v>
      </c>
    </row>
    <row r="208" spans="1:13" x14ac:dyDescent="0.2">
      <c r="A208" t="s">
        <v>161</v>
      </c>
      <c r="B208" t="s">
        <v>257</v>
      </c>
      <c r="C208" s="1" t="s">
        <v>258</v>
      </c>
      <c r="D208" s="2">
        <v>4368978</v>
      </c>
      <c r="E208" s="3">
        <v>1176322</v>
      </c>
      <c r="F208" s="3">
        <v>1305086</v>
      </c>
      <c r="G208" s="7">
        <f t="shared" si="24"/>
        <v>0.29871654194642316</v>
      </c>
      <c r="H208" s="8">
        <v>2714661</v>
      </c>
      <c r="I208" s="2">
        <v>2888250</v>
      </c>
      <c r="J208" s="6">
        <f t="shared" si="25"/>
        <v>0.66108137875722883</v>
      </c>
      <c r="K208" s="3">
        <v>2781231</v>
      </c>
      <c r="L208" s="3">
        <v>2951743</v>
      </c>
      <c r="M208" s="4">
        <f t="shared" si="26"/>
        <v>0.67561406809555924</v>
      </c>
    </row>
    <row r="209" spans="1:13" x14ac:dyDescent="0.2">
      <c r="A209" t="s">
        <v>162</v>
      </c>
      <c r="B209" t="s">
        <v>257</v>
      </c>
      <c r="C209" s="1" t="s">
        <v>258</v>
      </c>
      <c r="D209" s="2">
        <v>1657191</v>
      </c>
      <c r="E209" s="3">
        <v>529707</v>
      </c>
      <c r="F209" s="3">
        <v>857148</v>
      </c>
      <c r="G209" s="7">
        <f t="shared" si="24"/>
        <v>0.51722945635113882</v>
      </c>
      <c r="H209" s="8">
        <v>722117</v>
      </c>
      <c r="I209" s="2">
        <v>1090261</v>
      </c>
      <c r="J209" s="6">
        <f t="shared" si="25"/>
        <v>0.65789700764727788</v>
      </c>
      <c r="K209" s="3">
        <v>722117</v>
      </c>
      <c r="L209" s="3">
        <v>1090261</v>
      </c>
      <c r="M209" s="4">
        <f t="shared" si="26"/>
        <v>0.65789700764727788</v>
      </c>
    </row>
    <row r="210" spans="1:13" x14ac:dyDescent="0.2">
      <c r="A210" t="s">
        <v>163</v>
      </c>
      <c r="B210" t="s">
        <v>259</v>
      </c>
      <c r="C210" s="1" t="s">
        <v>260</v>
      </c>
      <c r="D210" s="2">
        <v>496311</v>
      </c>
      <c r="E210" s="3">
        <v>353253</v>
      </c>
      <c r="F210" s="3">
        <v>333589</v>
      </c>
      <c r="G210" s="7">
        <f t="shared" si="24"/>
        <v>0.67213702698509603</v>
      </c>
      <c r="H210" s="8">
        <v>360889</v>
      </c>
      <c r="I210" s="2">
        <v>340483</v>
      </c>
      <c r="J210" s="6">
        <f t="shared" si="25"/>
        <v>0.6860275109759808</v>
      </c>
      <c r="K210" s="3">
        <v>360923</v>
      </c>
      <c r="L210" s="3">
        <v>340548</v>
      </c>
      <c r="M210" s="4">
        <f t="shared" si="26"/>
        <v>0.68615847724511447</v>
      </c>
    </row>
    <row r="211" spans="1:13" x14ac:dyDescent="0.2">
      <c r="A211" t="s">
        <v>164</v>
      </c>
      <c r="B211" t="s">
        <v>259</v>
      </c>
      <c r="C211" s="1" t="s">
        <v>261</v>
      </c>
      <c r="D211" s="2">
        <v>11942834</v>
      </c>
      <c r="E211" s="3">
        <v>10912</v>
      </c>
      <c r="F211" s="3">
        <v>17563</v>
      </c>
      <c r="G211" s="7">
        <f t="shared" si="24"/>
        <v>1.4705889741078206E-3</v>
      </c>
      <c r="H211" s="8">
        <v>154194</v>
      </c>
      <c r="I211" s="2">
        <v>181601</v>
      </c>
      <c r="J211" s="6">
        <f t="shared" si="25"/>
        <v>1.5205854824742604E-2</v>
      </c>
      <c r="K211" s="3">
        <v>357728</v>
      </c>
      <c r="L211" s="3">
        <v>421920</v>
      </c>
      <c r="M211" s="4">
        <f t="shared" si="26"/>
        <v>3.5328298124214071E-2</v>
      </c>
    </row>
    <row r="212" spans="1:13" x14ac:dyDescent="0.2">
      <c r="A212" t="s">
        <v>165</v>
      </c>
      <c r="B212" t="s">
        <v>257</v>
      </c>
      <c r="C212" s="1" t="s">
        <v>252</v>
      </c>
      <c r="D212" s="2">
        <v>51676923</v>
      </c>
      <c r="E212" s="3">
        <v>2165915</v>
      </c>
      <c r="F212" s="3">
        <v>2588467</v>
      </c>
      <c r="G212" s="7">
        <f t="shared" si="24"/>
        <v>5.008941805610214E-2</v>
      </c>
      <c r="H212" s="8">
        <v>7757198</v>
      </c>
      <c r="I212" s="2">
        <v>9392574</v>
      </c>
      <c r="J212" s="6">
        <f t="shared" si="25"/>
        <v>0.18175567457837999</v>
      </c>
      <c r="K212" s="3">
        <v>10683492</v>
      </c>
      <c r="L212" s="3">
        <v>12859014</v>
      </c>
      <c r="M212" s="4">
        <f t="shared" si="26"/>
        <v>0.24883474583035836</v>
      </c>
    </row>
    <row r="213" spans="1:13" x14ac:dyDescent="0.2">
      <c r="A213" t="s">
        <v>262</v>
      </c>
      <c r="B213" t="s">
        <v>257</v>
      </c>
      <c r="C213" s="1" t="s">
        <v>231</v>
      </c>
      <c r="D213" s="2">
        <v>0</v>
      </c>
      <c r="E213" s="3">
        <v>0</v>
      </c>
      <c r="F213" s="3">
        <v>0</v>
      </c>
      <c r="G213" s="4">
        <v>0</v>
      </c>
      <c r="H213" s="8">
        <v>0</v>
      </c>
      <c r="I213" s="2">
        <v>0</v>
      </c>
      <c r="J213" s="6">
        <v>0</v>
      </c>
      <c r="K213" s="3">
        <v>0</v>
      </c>
      <c r="L213" s="3">
        <v>0</v>
      </c>
      <c r="M213" s="4">
        <v>0</v>
      </c>
    </row>
    <row r="214" spans="1:13" x14ac:dyDescent="0.2">
      <c r="A214" t="s">
        <v>166</v>
      </c>
      <c r="B214" t="s">
        <v>257</v>
      </c>
      <c r="C214" s="1" t="s">
        <v>258</v>
      </c>
      <c r="D214" s="2">
        <v>47121292</v>
      </c>
      <c r="E214" s="3">
        <v>3264391</v>
      </c>
      <c r="F214" s="3">
        <v>2608629</v>
      </c>
      <c r="G214" s="7">
        <f>F214/D214</f>
        <v>5.5359878502482487E-2</v>
      </c>
      <c r="H214" s="8">
        <v>6201973</v>
      </c>
      <c r="I214" s="2">
        <v>5788755</v>
      </c>
      <c r="J214" s="6">
        <f>I214/D214</f>
        <v>0.1228479685998423</v>
      </c>
      <c r="K214" s="3">
        <v>6673933</v>
      </c>
      <c r="L214" s="3">
        <v>6308510</v>
      </c>
      <c r="M214" s="4">
        <f>L214/D214</f>
        <v>0.13387812031979091</v>
      </c>
    </row>
    <row r="215" spans="1:13" x14ac:dyDescent="0.2">
      <c r="A215" t="s">
        <v>167</v>
      </c>
      <c r="B215" t="s">
        <v>259</v>
      </c>
      <c r="C215" s="1" t="s">
        <v>261</v>
      </c>
      <c r="D215" s="2">
        <v>12786257</v>
      </c>
      <c r="E215" s="3">
        <v>674854</v>
      </c>
      <c r="F215" s="3">
        <v>930272</v>
      </c>
      <c r="G215" s="7">
        <f>F215/D215</f>
        <v>7.2755615658280606E-2</v>
      </c>
      <c r="H215" s="8">
        <v>1268745</v>
      </c>
      <c r="I215" s="2">
        <v>1800378</v>
      </c>
      <c r="J215" s="6">
        <f>I215/D215</f>
        <v>0.14080571038107556</v>
      </c>
      <c r="K215" s="3">
        <v>1771758</v>
      </c>
      <c r="L215" s="3">
        <v>2541010</v>
      </c>
      <c r="M215" s="4">
        <f>L215/D215</f>
        <v>0.19872977682209891</v>
      </c>
    </row>
    <row r="216" spans="1:13" x14ac:dyDescent="0.2">
      <c r="A216" t="s">
        <v>168</v>
      </c>
      <c r="B216" t="s">
        <v>257</v>
      </c>
      <c r="C216" s="1" t="s">
        <v>258</v>
      </c>
      <c r="D216" s="2">
        <v>43022587</v>
      </c>
      <c r="E216" s="3">
        <v>2926447</v>
      </c>
      <c r="F216" s="3">
        <v>3539878</v>
      </c>
      <c r="G216" s="7">
        <f>F216/D216</f>
        <v>8.2279524473969912E-2</v>
      </c>
      <c r="H216" s="8">
        <v>8346783</v>
      </c>
      <c r="I216" s="2">
        <v>10511616</v>
      </c>
      <c r="J216" s="6">
        <f>I216/D216</f>
        <v>0.24432784574298147</v>
      </c>
      <c r="K216" s="3">
        <v>10700406</v>
      </c>
      <c r="L216" s="3">
        <v>13295241</v>
      </c>
      <c r="M216" s="4">
        <f>L216/D216</f>
        <v>0.30902932452667248</v>
      </c>
    </row>
    <row r="217" spans="1:13" x14ac:dyDescent="0.2">
      <c r="A217" t="s">
        <v>245</v>
      </c>
      <c r="B217" t="s">
        <v>257</v>
      </c>
      <c r="C217" s="1" t="s">
        <v>231</v>
      </c>
      <c r="D217" s="2">
        <v>0</v>
      </c>
      <c r="E217" s="3">
        <v>0</v>
      </c>
      <c r="F217" s="3">
        <v>0</v>
      </c>
      <c r="G217" s="4">
        <v>0</v>
      </c>
      <c r="H217" s="8">
        <v>0</v>
      </c>
      <c r="I217" s="2">
        <v>0</v>
      </c>
      <c r="J217" s="6">
        <v>0</v>
      </c>
      <c r="K217" s="3">
        <v>0</v>
      </c>
      <c r="L217" s="3">
        <v>0</v>
      </c>
      <c r="M217" s="4">
        <v>0</v>
      </c>
    </row>
    <row r="218" spans="1:13" x14ac:dyDescent="0.2">
      <c r="A218" t="s">
        <v>169</v>
      </c>
      <c r="B218" t="s">
        <v>259</v>
      </c>
      <c r="C218" s="1" t="s">
        <v>260</v>
      </c>
      <c r="D218" s="2">
        <v>25409980</v>
      </c>
      <c r="E218" s="3">
        <v>10468016</v>
      </c>
      <c r="F218" s="3">
        <v>9125237</v>
      </c>
      <c r="G218" s="7">
        <f t="shared" ref="G218:G250" si="27">F218/D218</f>
        <v>0.35912019608043766</v>
      </c>
      <c r="H218" s="8">
        <v>13139060</v>
      </c>
      <c r="I218" s="2">
        <v>11197871</v>
      </c>
      <c r="J218" s="6">
        <f t="shared" ref="J218:J250" si="28">I218/D218</f>
        <v>0.44068791081299552</v>
      </c>
      <c r="K218" s="3">
        <v>13342090</v>
      </c>
      <c r="L218" s="3">
        <v>11395303</v>
      </c>
      <c r="M218" s="4">
        <f t="shared" ref="M218:M250" si="29">L218/D218</f>
        <v>0.4484577713166244</v>
      </c>
    </row>
    <row r="219" spans="1:13" x14ac:dyDescent="0.2">
      <c r="A219" t="s">
        <v>170</v>
      </c>
      <c r="B219" t="s">
        <v>259</v>
      </c>
      <c r="C219" s="1" t="s">
        <v>260</v>
      </c>
      <c r="D219" s="2">
        <v>39972293</v>
      </c>
      <c r="E219" s="3">
        <v>267</v>
      </c>
      <c r="F219" s="3">
        <v>196</v>
      </c>
      <c r="G219" s="7">
        <f t="shared" si="27"/>
        <v>4.9033964601430298E-6</v>
      </c>
      <c r="H219" s="8">
        <v>3319</v>
      </c>
      <c r="I219" s="2">
        <v>2698</v>
      </c>
      <c r="J219" s="6">
        <f t="shared" si="28"/>
        <v>6.7496753313601499E-5</v>
      </c>
      <c r="K219" s="3">
        <v>11836</v>
      </c>
      <c r="L219" s="3">
        <v>10670</v>
      </c>
      <c r="M219" s="4">
        <f t="shared" si="29"/>
        <v>2.6693489913125575E-4</v>
      </c>
    </row>
    <row r="220" spans="1:13" x14ac:dyDescent="0.2">
      <c r="A220" t="s">
        <v>171</v>
      </c>
      <c r="B220" t="s">
        <v>259</v>
      </c>
      <c r="C220" s="1" t="s">
        <v>252</v>
      </c>
      <c r="D220" s="2">
        <v>685334</v>
      </c>
      <c r="E220" s="3">
        <v>201915</v>
      </c>
      <c r="F220" s="3">
        <v>197795</v>
      </c>
      <c r="G220" s="7">
        <f t="shared" si="27"/>
        <v>0.28861110057285938</v>
      </c>
      <c r="H220" s="8">
        <v>244792</v>
      </c>
      <c r="I220" s="2">
        <v>266753</v>
      </c>
      <c r="J220" s="6">
        <f t="shared" si="28"/>
        <v>0.38923065249936528</v>
      </c>
      <c r="K220" s="3">
        <v>244900</v>
      </c>
      <c r="L220" s="3">
        <v>266757</v>
      </c>
      <c r="M220" s="4">
        <f t="shared" si="29"/>
        <v>0.38923648906956315</v>
      </c>
    </row>
    <row r="221" spans="1:13" x14ac:dyDescent="0.2">
      <c r="A221" t="s">
        <v>246</v>
      </c>
      <c r="B221" t="s">
        <v>257</v>
      </c>
      <c r="C221" s="1" t="s">
        <v>231</v>
      </c>
      <c r="D221" s="2">
        <v>132</v>
      </c>
      <c r="E221" s="3">
        <v>0</v>
      </c>
      <c r="F221" s="3">
        <v>0</v>
      </c>
      <c r="G221" s="7">
        <f t="shared" si="27"/>
        <v>0</v>
      </c>
      <c r="H221" s="8">
        <v>0</v>
      </c>
      <c r="I221" s="2">
        <v>0</v>
      </c>
      <c r="J221" s="6">
        <f t="shared" si="28"/>
        <v>0</v>
      </c>
      <c r="K221" s="3">
        <v>0</v>
      </c>
      <c r="L221" s="3">
        <v>0</v>
      </c>
      <c r="M221" s="4">
        <f t="shared" si="29"/>
        <v>0</v>
      </c>
    </row>
    <row r="222" spans="1:13" x14ac:dyDescent="0.2">
      <c r="A222" t="s">
        <v>172</v>
      </c>
      <c r="B222" t="s">
        <v>257</v>
      </c>
      <c r="C222" s="1" t="s">
        <v>260</v>
      </c>
      <c r="D222" s="2">
        <v>1467350</v>
      </c>
      <c r="E222" s="3">
        <v>172559</v>
      </c>
      <c r="F222" s="3">
        <v>175147</v>
      </c>
      <c r="G222" s="7">
        <f t="shared" si="27"/>
        <v>0.11936279687872696</v>
      </c>
      <c r="H222" s="8">
        <v>778406</v>
      </c>
      <c r="I222" s="2">
        <v>834957</v>
      </c>
      <c r="J222" s="6">
        <f t="shared" si="28"/>
        <v>0.56902375029815655</v>
      </c>
      <c r="K222" s="3">
        <v>948522</v>
      </c>
      <c r="L222" s="3">
        <v>1006637</v>
      </c>
      <c r="M222" s="4">
        <f t="shared" si="29"/>
        <v>0.68602378437318978</v>
      </c>
    </row>
    <row r="223" spans="1:13" x14ac:dyDescent="0.2">
      <c r="A223" t="s">
        <v>173</v>
      </c>
      <c r="B223" t="s">
        <v>257</v>
      </c>
      <c r="C223" s="1" t="s">
        <v>258</v>
      </c>
      <c r="D223" s="2">
        <v>5504762</v>
      </c>
      <c r="E223" s="3">
        <v>3086557</v>
      </c>
      <c r="F223" s="3">
        <v>3126228</v>
      </c>
      <c r="G223" s="7">
        <f t="shared" si="27"/>
        <v>0.56791338117796919</v>
      </c>
      <c r="H223" s="8">
        <v>3973180</v>
      </c>
      <c r="I223" s="2">
        <v>4161460</v>
      </c>
      <c r="J223" s="6">
        <f t="shared" si="28"/>
        <v>0.75597455439490391</v>
      </c>
      <c r="K223" s="3">
        <v>4010179</v>
      </c>
      <c r="L223" s="3">
        <v>4203731</v>
      </c>
      <c r="M223" s="4">
        <f t="shared" si="29"/>
        <v>0.76365354215132275</v>
      </c>
    </row>
    <row r="224" spans="1:13" x14ac:dyDescent="0.2">
      <c r="A224" t="s">
        <v>174</v>
      </c>
      <c r="B224" t="s">
        <v>257</v>
      </c>
      <c r="C224" s="1" t="s">
        <v>258</v>
      </c>
      <c r="D224" s="2">
        <v>6528793</v>
      </c>
      <c r="E224" s="3">
        <v>1684787</v>
      </c>
      <c r="F224" s="3">
        <v>2511679</v>
      </c>
      <c r="G224" s="7">
        <f t="shared" si="27"/>
        <v>0.38470801570826341</v>
      </c>
      <c r="H224" s="8">
        <v>2422081</v>
      </c>
      <c r="I224" s="2">
        <v>3606603</v>
      </c>
      <c r="J224" s="6">
        <f t="shared" si="28"/>
        <v>0.55241497164943043</v>
      </c>
      <c r="K224" s="3">
        <v>2422383</v>
      </c>
      <c r="L224" s="3">
        <v>3607292</v>
      </c>
      <c r="M224" s="4">
        <f t="shared" si="29"/>
        <v>0.55252050417282339</v>
      </c>
    </row>
    <row r="225" spans="1:13" x14ac:dyDescent="0.2">
      <c r="A225" t="s">
        <v>175</v>
      </c>
      <c r="B225" t="s">
        <v>257</v>
      </c>
      <c r="C225" s="1" t="s">
        <v>260</v>
      </c>
      <c r="D225" s="2">
        <v>20555909</v>
      </c>
      <c r="E225" s="3">
        <v>123139</v>
      </c>
      <c r="F225" s="3">
        <v>194247</v>
      </c>
      <c r="G225" s="7">
        <f t="shared" si="27"/>
        <v>9.4496915704384565E-3</v>
      </c>
      <c r="H225" s="8">
        <v>744538</v>
      </c>
      <c r="I225" s="2">
        <v>1169062</v>
      </c>
      <c r="J225" s="6">
        <f t="shared" si="28"/>
        <v>5.6872308590196617E-2</v>
      </c>
      <c r="K225" s="3">
        <v>1353547</v>
      </c>
      <c r="L225" s="3">
        <v>1901726</v>
      </c>
      <c r="M225" s="4">
        <f t="shared" si="29"/>
        <v>9.2514809245361027E-2</v>
      </c>
    </row>
    <row r="226" spans="1:13" x14ac:dyDescent="0.2">
      <c r="A226" t="s">
        <v>176</v>
      </c>
      <c r="B226" t="s">
        <v>257</v>
      </c>
      <c r="C226" s="1" t="s">
        <v>258</v>
      </c>
      <c r="D226" s="2">
        <v>25263343</v>
      </c>
      <c r="E226" s="3">
        <v>1116344</v>
      </c>
      <c r="F226" s="3">
        <v>1431938</v>
      </c>
      <c r="G226" s="7">
        <f t="shared" si="27"/>
        <v>5.6680463864184565E-2</v>
      </c>
      <c r="H226" s="8">
        <v>2532298</v>
      </c>
      <c r="I226" s="2">
        <v>3375772</v>
      </c>
      <c r="J226" s="6">
        <f t="shared" si="28"/>
        <v>0.13362332926406453</v>
      </c>
      <c r="K226" s="3">
        <v>3390566</v>
      </c>
      <c r="L226" s="3">
        <v>4363460</v>
      </c>
      <c r="M226" s="4">
        <f t="shared" si="29"/>
        <v>0.1727190261399689</v>
      </c>
    </row>
    <row r="227" spans="1:13" x14ac:dyDescent="0.2">
      <c r="A227" t="s">
        <v>177</v>
      </c>
      <c r="B227" t="s">
        <v>257</v>
      </c>
      <c r="C227" s="1" t="s">
        <v>261</v>
      </c>
      <c r="D227" s="2">
        <v>7366884</v>
      </c>
      <c r="E227" s="3">
        <v>19783</v>
      </c>
      <c r="F227" s="3">
        <v>15708</v>
      </c>
      <c r="G227" s="7">
        <f t="shared" si="27"/>
        <v>2.1322447862624143E-3</v>
      </c>
      <c r="H227" s="8">
        <v>368620</v>
      </c>
      <c r="I227" s="2">
        <v>312665</v>
      </c>
      <c r="J227" s="6">
        <f t="shared" si="28"/>
        <v>4.2441960535824913E-2</v>
      </c>
      <c r="K227" s="3">
        <v>1020258</v>
      </c>
      <c r="L227" s="3">
        <v>885824</v>
      </c>
      <c r="M227" s="4">
        <f t="shared" si="29"/>
        <v>0.1202440543383064</v>
      </c>
    </row>
    <row r="228" spans="1:13" x14ac:dyDescent="0.2">
      <c r="A228" t="s">
        <v>178</v>
      </c>
      <c r="B228" t="s">
        <v>259</v>
      </c>
      <c r="C228" s="1" t="s">
        <v>261</v>
      </c>
      <c r="D228" s="2">
        <v>55848660</v>
      </c>
      <c r="E228" s="3">
        <v>5539472</v>
      </c>
      <c r="F228" s="3">
        <v>4632881</v>
      </c>
      <c r="G228" s="7">
        <f t="shared" si="27"/>
        <v>8.2954201586931536E-2</v>
      </c>
      <c r="H228" s="8">
        <v>14212099</v>
      </c>
      <c r="I228" s="2">
        <v>15482743</v>
      </c>
      <c r="J228" s="6">
        <f t="shared" si="28"/>
        <v>0.27722675888732157</v>
      </c>
      <c r="K228" s="3">
        <v>19829199</v>
      </c>
      <c r="L228" s="3">
        <v>23327913</v>
      </c>
      <c r="M228" s="4">
        <f t="shared" si="29"/>
        <v>0.41769870575229556</v>
      </c>
    </row>
    <row r="229" spans="1:13" x14ac:dyDescent="0.2">
      <c r="A229" t="s">
        <v>179</v>
      </c>
      <c r="B229" t="s">
        <v>259</v>
      </c>
      <c r="C229" s="1" t="s">
        <v>252</v>
      </c>
      <c r="D229" s="2">
        <v>78550086</v>
      </c>
      <c r="E229" s="3">
        <v>7308219</v>
      </c>
      <c r="F229" s="3">
        <v>8523892</v>
      </c>
      <c r="G229" s="7">
        <f t="shared" si="27"/>
        <v>0.10851537450894706</v>
      </c>
      <c r="H229" s="8">
        <v>21447688</v>
      </c>
      <c r="I229" s="2">
        <v>26110668</v>
      </c>
      <c r="J229" s="6">
        <f t="shared" si="28"/>
        <v>0.33240788558780188</v>
      </c>
      <c r="K229" s="3">
        <v>30353129</v>
      </c>
      <c r="L229" s="3">
        <v>36348628</v>
      </c>
      <c r="M229" s="4">
        <f t="shared" si="29"/>
        <v>0.46274459839547472</v>
      </c>
    </row>
    <row r="230" spans="1:13" x14ac:dyDescent="0.2">
      <c r="A230" t="s">
        <v>181</v>
      </c>
      <c r="B230" t="s">
        <v>259</v>
      </c>
      <c r="C230" s="1" t="s">
        <v>261</v>
      </c>
      <c r="D230" s="2">
        <v>8249165</v>
      </c>
      <c r="E230" s="3">
        <v>271016</v>
      </c>
      <c r="F230" s="3">
        <v>208089</v>
      </c>
      <c r="G230" s="7">
        <f t="shared" si="27"/>
        <v>2.522546221344827E-2</v>
      </c>
      <c r="H230" s="8">
        <v>752815</v>
      </c>
      <c r="I230" s="2">
        <v>674254</v>
      </c>
      <c r="J230" s="6">
        <f t="shared" si="28"/>
        <v>8.1736030252758912E-2</v>
      </c>
      <c r="K230" s="3">
        <v>1226521</v>
      </c>
      <c r="L230" s="3">
        <v>1209769</v>
      </c>
      <c r="M230" s="4">
        <f t="shared" si="29"/>
        <v>0.14665350977947464</v>
      </c>
    </row>
    <row r="231" spans="1:13" x14ac:dyDescent="0.2">
      <c r="A231" t="s">
        <v>247</v>
      </c>
      <c r="B231" t="s">
        <v>259</v>
      </c>
      <c r="C231" s="1" t="s">
        <v>231</v>
      </c>
      <c r="D231" s="2">
        <v>695</v>
      </c>
      <c r="E231" s="3">
        <v>0</v>
      </c>
      <c r="F231" s="3">
        <v>0</v>
      </c>
      <c r="G231" s="7">
        <f t="shared" si="27"/>
        <v>0</v>
      </c>
      <c r="H231" s="8">
        <v>0</v>
      </c>
      <c r="I231" s="2">
        <v>0</v>
      </c>
      <c r="J231" s="6">
        <f t="shared" si="28"/>
        <v>0</v>
      </c>
      <c r="K231" s="3">
        <v>0</v>
      </c>
      <c r="L231" s="3">
        <v>0</v>
      </c>
      <c r="M231" s="4">
        <f t="shared" si="29"/>
        <v>0</v>
      </c>
    </row>
    <row r="232" spans="1:13" x14ac:dyDescent="0.2">
      <c r="A232" t="s">
        <v>248</v>
      </c>
      <c r="B232" t="s">
        <v>259</v>
      </c>
      <c r="C232" s="1" t="s">
        <v>252</v>
      </c>
      <c r="D232" s="2">
        <v>93590</v>
      </c>
      <c r="E232" s="3">
        <v>0</v>
      </c>
      <c r="F232" s="3">
        <v>0</v>
      </c>
      <c r="G232" s="7">
        <f t="shared" si="27"/>
        <v>0</v>
      </c>
      <c r="H232" s="8">
        <v>0</v>
      </c>
      <c r="I232" s="2">
        <v>0</v>
      </c>
      <c r="J232" s="6">
        <f t="shared" si="28"/>
        <v>0</v>
      </c>
      <c r="K232" s="3">
        <v>0</v>
      </c>
      <c r="L232" s="3">
        <v>0</v>
      </c>
      <c r="M232" s="4">
        <f t="shared" si="29"/>
        <v>0</v>
      </c>
    </row>
    <row r="233" spans="1:13" x14ac:dyDescent="0.2">
      <c r="A233" t="s">
        <v>182</v>
      </c>
      <c r="B233" t="s">
        <v>259</v>
      </c>
      <c r="C233" s="1" t="s">
        <v>258</v>
      </c>
      <c r="D233" s="2">
        <v>1435419</v>
      </c>
      <c r="E233" s="3">
        <v>231686</v>
      </c>
      <c r="F233" s="3">
        <v>331765</v>
      </c>
      <c r="G233" s="7">
        <f t="shared" si="27"/>
        <v>0.23112763590282698</v>
      </c>
      <c r="H233" s="8">
        <v>366128</v>
      </c>
      <c r="I233" s="2">
        <v>510328</v>
      </c>
      <c r="J233" s="6">
        <f t="shared" si="28"/>
        <v>0.35552545981347605</v>
      </c>
      <c r="K233" s="3">
        <v>366128</v>
      </c>
      <c r="L233" s="3">
        <v>515676</v>
      </c>
      <c r="M233" s="4">
        <f t="shared" si="29"/>
        <v>0.35925120121720555</v>
      </c>
    </row>
    <row r="234" spans="1:13" x14ac:dyDescent="0.2">
      <c r="A234" t="s">
        <v>183</v>
      </c>
      <c r="B234" t="s">
        <v>257</v>
      </c>
      <c r="C234" s="1" t="s">
        <v>252</v>
      </c>
      <c r="D234" s="2">
        <v>10451157</v>
      </c>
      <c r="E234" s="3">
        <v>152040</v>
      </c>
      <c r="F234" s="3">
        <v>177480</v>
      </c>
      <c r="G234" s="7">
        <f t="shared" si="27"/>
        <v>1.6981851865779073E-2</v>
      </c>
      <c r="H234" s="8">
        <v>794972</v>
      </c>
      <c r="I234" s="2">
        <v>906109</v>
      </c>
      <c r="J234" s="6">
        <f t="shared" si="28"/>
        <v>8.6699396057297776E-2</v>
      </c>
      <c r="K234" s="3">
        <v>1560951</v>
      </c>
      <c r="L234" s="3">
        <v>1599272</v>
      </c>
      <c r="M234" s="4">
        <f t="shared" si="29"/>
        <v>0.1530234403712431</v>
      </c>
    </row>
    <row r="235" spans="1:13" x14ac:dyDescent="0.2">
      <c r="A235" t="s">
        <v>184</v>
      </c>
      <c r="B235" t="s">
        <v>257</v>
      </c>
      <c r="C235" s="1" t="s">
        <v>252</v>
      </c>
      <c r="D235" s="2">
        <v>74355137</v>
      </c>
      <c r="E235" s="3">
        <v>4493739</v>
      </c>
      <c r="F235" s="3">
        <v>5807052</v>
      </c>
      <c r="G235" s="7">
        <f t="shared" si="27"/>
        <v>7.8098867600768451E-2</v>
      </c>
      <c r="H235" s="8">
        <v>11510979</v>
      </c>
      <c r="I235" s="2">
        <v>16412570</v>
      </c>
      <c r="J235" s="6">
        <f t="shared" si="28"/>
        <v>0.2207321600389224</v>
      </c>
      <c r="K235" s="3">
        <v>15836927</v>
      </c>
      <c r="L235" s="3">
        <v>22671153</v>
      </c>
      <c r="M235" s="4">
        <f t="shared" si="29"/>
        <v>0.3049036544711094</v>
      </c>
    </row>
    <row r="236" spans="1:13" x14ac:dyDescent="0.2">
      <c r="A236" t="s">
        <v>185</v>
      </c>
      <c r="B236" t="s">
        <v>257</v>
      </c>
      <c r="C236" s="1" t="s">
        <v>252</v>
      </c>
      <c r="D236" s="2">
        <v>4727438</v>
      </c>
      <c r="E236" s="3">
        <v>2846</v>
      </c>
      <c r="F236" s="3">
        <v>586</v>
      </c>
      <c r="G236" s="7">
        <f t="shared" si="27"/>
        <v>1.239572047269578E-4</v>
      </c>
      <c r="H236" s="8">
        <v>26931</v>
      </c>
      <c r="I236" s="2">
        <v>43744</v>
      </c>
      <c r="J236" s="6">
        <f t="shared" si="28"/>
        <v>9.2532149549079228E-3</v>
      </c>
      <c r="K236" s="3">
        <v>82586</v>
      </c>
      <c r="L236" s="3">
        <v>104508</v>
      </c>
      <c r="M236" s="4">
        <f t="shared" si="29"/>
        <v>2.2106688654615882E-2</v>
      </c>
    </row>
    <row r="237" spans="1:13" x14ac:dyDescent="0.2">
      <c r="A237" t="s">
        <v>186</v>
      </c>
      <c r="B237" t="s">
        <v>259</v>
      </c>
      <c r="C237" s="1" t="s">
        <v>258</v>
      </c>
      <c r="D237" s="2">
        <v>43101</v>
      </c>
      <c r="E237" s="3">
        <v>3467</v>
      </c>
      <c r="F237" s="3">
        <v>6918</v>
      </c>
      <c r="G237" s="7">
        <f t="shared" si="27"/>
        <v>0.16050671678151318</v>
      </c>
      <c r="H237" s="8">
        <v>8980</v>
      </c>
      <c r="I237" s="2">
        <v>18733</v>
      </c>
      <c r="J237" s="6">
        <f t="shared" si="28"/>
        <v>0.4346302870003016</v>
      </c>
      <c r="K237" s="3">
        <v>9902</v>
      </c>
      <c r="L237" s="3">
        <v>19188</v>
      </c>
      <c r="M237" s="4">
        <f t="shared" si="29"/>
        <v>0.44518688661515976</v>
      </c>
    </row>
    <row r="238" spans="1:13" x14ac:dyDescent="0.2">
      <c r="A238" t="s">
        <v>249</v>
      </c>
      <c r="B238" t="s">
        <v>259</v>
      </c>
      <c r="C238" s="1" t="s">
        <v>252</v>
      </c>
      <c r="D238" s="2">
        <v>5523</v>
      </c>
      <c r="E238" s="3">
        <v>0</v>
      </c>
      <c r="F238" s="3">
        <v>0</v>
      </c>
      <c r="G238" s="7">
        <f t="shared" si="27"/>
        <v>0</v>
      </c>
      <c r="H238" s="8">
        <v>0</v>
      </c>
      <c r="I238" s="2">
        <v>0</v>
      </c>
      <c r="J238" s="6">
        <f t="shared" si="28"/>
        <v>0</v>
      </c>
      <c r="K238" s="3">
        <v>0</v>
      </c>
      <c r="L238" s="3">
        <v>0</v>
      </c>
      <c r="M238" s="4">
        <f t="shared" si="29"/>
        <v>0</v>
      </c>
    </row>
    <row r="239" spans="1:13" x14ac:dyDescent="0.2">
      <c r="A239" t="s">
        <v>187</v>
      </c>
      <c r="B239" t="s">
        <v>259</v>
      </c>
      <c r="C239" s="1" t="s">
        <v>261</v>
      </c>
      <c r="D239" s="2">
        <v>41856335</v>
      </c>
      <c r="E239" s="3">
        <v>6701522</v>
      </c>
      <c r="F239" s="3">
        <v>7408964</v>
      </c>
      <c r="G239" s="7">
        <f t="shared" si="27"/>
        <v>0.1770093822117966</v>
      </c>
      <c r="H239" s="8">
        <v>15297343</v>
      </c>
      <c r="I239" s="2">
        <v>18748356</v>
      </c>
      <c r="J239" s="6">
        <f t="shared" si="28"/>
        <v>0.4479215870190259</v>
      </c>
      <c r="K239" s="3">
        <v>18581066</v>
      </c>
      <c r="L239" s="3">
        <v>23885642</v>
      </c>
      <c r="M239" s="4">
        <f t="shared" si="29"/>
        <v>0.57065775109072503</v>
      </c>
    </row>
    <row r="240" spans="1:13" x14ac:dyDescent="0.2">
      <c r="A240" t="s">
        <v>188</v>
      </c>
      <c r="B240" t="s">
        <v>257</v>
      </c>
      <c r="C240" s="1" t="s">
        <v>260</v>
      </c>
      <c r="D240" s="2">
        <v>35607976</v>
      </c>
      <c r="E240" s="3">
        <v>4270790</v>
      </c>
      <c r="F240" s="3">
        <v>5210307</v>
      </c>
      <c r="G240" s="7">
        <f t="shared" si="27"/>
        <v>0.14632415501515728</v>
      </c>
      <c r="H240" s="8">
        <v>13204645</v>
      </c>
      <c r="I240" s="2">
        <v>16558374</v>
      </c>
      <c r="J240" s="6">
        <f t="shared" si="28"/>
        <v>0.46501868008448444</v>
      </c>
      <c r="K240" s="3">
        <v>14547536</v>
      </c>
      <c r="L240" s="3">
        <v>18023975</v>
      </c>
      <c r="M240" s="4">
        <f t="shared" si="29"/>
        <v>0.50617802595688111</v>
      </c>
    </row>
    <row r="241" spans="1:13" x14ac:dyDescent="0.2">
      <c r="A241" t="s">
        <v>250</v>
      </c>
      <c r="B241" t="s">
        <v>259</v>
      </c>
      <c r="C241" s="1" t="s">
        <v>258</v>
      </c>
      <c r="D241" s="2">
        <v>5747235</v>
      </c>
      <c r="E241" s="3">
        <v>0</v>
      </c>
      <c r="F241" s="3">
        <v>0</v>
      </c>
      <c r="G241" s="7">
        <f t="shared" si="27"/>
        <v>0</v>
      </c>
      <c r="H241" s="8">
        <v>0</v>
      </c>
      <c r="I241" s="2">
        <v>0</v>
      </c>
      <c r="J241" s="6">
        <f t="shared" si="28"/>
        <v>0</v>
      </c>
      <c r="K241" s="3">
        <v>0</v>
      </c>
      <c r="L241" s="3">
        <v>0</v>
      </c>
      <c r="M241" s="4">
        <f t="shared" si="29"/>
        <v>0</v>
      </c>
    </row>
    <row r="242" spans="1:13" x14ac:dyDescent="0.2">
      <c r="A242" t="s">
        <v>189</v>
      </c>
      <c r="B242" t="s">
        <v>257</v>
      </c>
      <c r="C242" s="1" t="s">
        <v>258</v>
      </c>
      <c r="D242" s="2">
        <v>46105500</v>
      </c>
      <c r="E242" s="3">
        <v>6235895</v>
      </c>
      <c r="F242" s="3">
        <v>5596412</v>
      </c>
      <c r="G242" s="7">
        <f t="shared" si="27"/>
        <v>0.12138274175532203</v>
      </c>
      <c r="H242" s="8">
        <v>20656404</v>
      </c>
      <c r="I242" s="2">
        <v>18050465</v>
      </c>
      <c r="J242" s="6">
        <f t="shared" si="28"/>
        <v>0.39150350825823382</v>
      </c>
      <c r="K242" s="3">
        <v>21319930</v>
      </c>
      <c r="L242" s="3">
        <v>18644044</v>
      </c>
      <c r="M242" s="4">
        <f t="shared" si="29"/>
        <v>0.40437787248809792</v>
      </c>
    </row>
    <row r="243" spans="1:13" x14ac:dyDescent="0.2">
      <c r="A243" t="s">
        <v>190</v>
      </c>
      <c r="B243" t="s">
        <v>257</v>
      </c>
      <c r="C243" s="1" t="s">
        <v>258</v>
      </c>
      <c r="D243" s="2">
        <v>298828061</v>
      </c>
      <c r="E243" s="3">
        <v>94806687</v>
      </c>
      <c r="F243" s="3">
        <v>98145640</v>
      </c>
      <c r="G243" s="7">
        <f t="shared" si="27"/>
        <v>0.32843515321675232</v>
      </c>
      <c r="H243" s="8">
        <v>157128477</v>
      </c>
      <c r="I243" s="2">
        <v>169178166</v>
      </c>
      <c r="J243" s="6">
        <f t="shared" si="28"/>
        <v>0.56613882054403186</v>
      </c>
      <c r="K243" s="3">
        <v>165740069</v>
      </c>
      <c r="L243" s="3">
        <v>179419522</v>
      </c>
      <c r="M243" s="4">
        <f t="shared" si="29"/>
        <v>0.60041055515198083</v>
      </c>
    </row>
    <row r="244" spans="1:13" x14ac:dyDescent="0.2">
      <c r="A244" t="s">
        <v>251</v>
      </c>
      <c r="B244" t="s">
        <v>259</v>
      </c>
      <c r="C244" s="1" t="s">
        <v>231</v>
      </c>
      <c r="D244" s="2">
        <v>40</v>
      </c>
      <c r="E244" s="3">
        <v>0</v>
      </c>
      <c r="F244" s="3">
        <v>0</v>
      </c>
      <c r="G244" s="7">
        <f t="shared" si="27"/>
        <v>0</v>
      </c>
      <c r="H244" s="8">
        <v>0</v>
      </c>
      <c r="I244" s="2">
        <v>0</v>
      </c>
      <c r="J244" s="6">
        <f t="shared" si="28"/>
        <v>0</v>
      </c>
      <c r="K244" s="3">
        <v>0</v>
      </c>
      <c r="L244" s="3">
        <v>0</v>
      </c>
      <c r="M244" s="4">
        <f t="shared" si="29"/>
        <v>0</v>
      </c>
    </row>
    <row r="245" spans="1:13" x14ac:dyDescent="0.2">
      <c r="A245" t="s">
        <v>191</v>
      </c>
      <c r="B245" t="s">
        <v>257</v>
      </c>
      <c r="C245" s="1" t="s">
        <v>258</v>
      </c>
      <c r="D245" s="2">
        <v>3276929</v>
      </c>
      <c r="E245" s="3">
        <v>319988</v>
      </c>
      <c r="F245" s="3">
        <v>273555</v>
      </c>
      <c r="G245" s="7">
        <f t="shared" si="27"/>
        <v>8.3479074462705777E-2</v>
      </c>
      <c r="H245" s="8">
        <v>1170545</v>
      </c>
      <c r="I245" s="2">
        <v>957184</v>
      </c>
      <c r="J245" s="6">
        <f t="shared" si="28"/>
        <v>0.2920978757855297</v>
      </c>
      <c r="K245" s="3">
        <v>1287710</v>
      </c>
      <c r="L245" s="3">
        <v>1024641</v>
      </c>
      <c r="M245" s="4">
        <f t="shared" si="29"/>
        <v>0.31268330806068728</v>
      </c>
    </row>
    <row r="246" spans="1:13" x14ac:dyDescent="0.2">
      <c r="A246" t="s">
        <v>192</v>
      </c>
      <c r="B246" t="s">
        <v>257</v>
      </c>
      <c r="C246" s="1" t="s">
        <v>260</v>
      </c>
      <c r="D246" s="2">
        <v>26195321</v>
      </c>
      <c r="E246" s="3">
        <v>109496</v>
      </c>
      <c r="F246" s="3">
        <v>114141</v>
      </c>
      <c r="G246" s="7">
        <f t="shared" si="27"/>
        <v>4.3573048789896486E-3</v>
      </c>
      <c r="H246" s="8">
        <v>1168863</v>
      </c>
      <c r="I246" s="2">
        <v>1463802</v>
      </c>
      <c r="J246" s="6">
        <f t="shared" si="28"/>
        <v>5.5880284879883703E-2</v>
      </c>
      <c r="K246" s="3">
        <v>2583685</v>
      </c>
      <c r="L246" s="3">
        <v>3277296</v>
      </c>
      <c r="M246" s="4">
        <f t="shared" si="29"/>
        <v>0.12510997670156437</v>
      </c>
    </row>
    <row r="247" spans="1:13" x14ac:dyDescent="0.2">
      <c r="A247" t="s">
        <v>193</v>
      </c>
      <c r="B247" t="s">
        <v>259</v>
      </c>
      <c r="C247" s="1" t="s">
        <v>260</v>
      </c>
      <c r="D247" s="2">
        <v>202945</v>
      </c>
      <c r="E247" s="3">
        <v>140556</v>
      </c>
      <c r="F247" s="3">
        <v>176765</v>
      </c>
      <c r="G247" s="7">
        <f t="shared" si="27"/>
        <v>0.87099953189287738</v>
      </c>
      <c r="H247" s="8">
        <v>144928</v>
      </c>
      <c r="I247" s="2">
        <v>180187</v>
      </c>
      <c r="J247" s="6">
        <f t="shared" si="28"/>
        <v>0.88786124319396886</v>
      </c>
      <c r="K247" s="3">
        <v>144995</v>
      </c>
      <c r="L247" s="3">
        <v>180617</v>
      </c>
      <c r="M247" s="4">
        <f t="shared" si="29"/>
        <v>0.88998004385424623</v>
      </c>
    </row>
    <row r="248" spans="1:13" x14ac:dyDescent="0.2">
      <c r="A248" t="s">
        <v>253</v>
      </c>
      <c r="B248" t="s">
        <v>257</v>
      </c>
      <c r="C248" s="1" t="s">
        <v>231</v>
      </c>
      <c r="D248" s="2">
        <v>836</v>
      </c>
      <c r="E248" s="3">
        <v>0</v>
      </c>
      <c r="F248" s="3">
        <v>0</v>
      </c>
      <c r="G248" s="7">
        <f t="shared" si="27"/>
        <v>0</v>
      </c>
      <c r="H248" s="8">
        <v>0</v>
      </c>
      <c r="I248" s="2">
        <v>0</v>
      </c>
      <c r="J248" s="6">
        <f t="shared" si="28"/>
        <v>0</v>
      </c>
      <c r="K248" s="3">
        <v>0</v>
      </c>
      <c r="L248" s="3">
        <v>0</v>
      </c>
      <c r="M248" s="4">
        <f t="shared" si="29"/>
        <v>0</v>
      </c>
    </row>
    <row r="249" spans="1:13" x14ac:dyDescent="0.2">
      <c r="A249" t="s">
        <v>194</v>
      </c>
      <c r="B249" t="s">
        <v>259</v>
      </c>
      <c r="C249" s="1" t="s">
        <v>252</v>
      </c>
      <c r="D249" s="2">
        <v>33371120</v>
      </c>
      <c r="E249" s="3">
        <v>4266055</v>
      </c>
      <c r="F249" s="3">
        <v>3589092</v>
      </c>
      <c r="G249" s="7">
        <f t="shared" si="27"/>
        <v>0.10755084036735957</v>
      </c>
      <c r="H249" s="8">
        <v>7845386</v>
      </c>
      <c r="I249" s="2">
        <v>6857864</v>
      </c>
      <c r="J249" s="6">
        <f t="shared" si="28"/>
        <v>0.20550296184245539</v>
      </c>
      <c r="K249" s="3">
        <v>8311425</v>
      </c>
      <c r="L249" s="3">
        <v>7273342</v>
      </c>
      <c r="M249" s="4">
        <f t="shared" si="29"/>
        <v>0.21795318826578192</v>
      </c>
    </row>
    <row r="250" spans="1:13" x14ac:dyDescent="0.2">
      <c r="A250" t="s">
        <v>195</v>
      </c>
      <c r="B250" t="s">
        <v>259</v>
      </c>
      <c r="C250" s="1" t="s">
        <v>260</v>
      </c>
      <c r="D250" s="2">
        <v>105716885</v>
      </c>
      <c r="E250" s="3">
        <v>14967242</v>
      </c>
      <c r="F250" s="3">
        <v>10706303</v>
      </c>
      <c r="G250" s="7">
        <f t="shared" si="27"/>
        <v>0.1012733490965043</v>
      </c>
      <c r="H250" s="8">
        <v>32021412</v>
      </c>
      <c r="I250" s="2">
        <v>25410032</v>
      </c>
      <c r="J250" s="6">
        <f t="shared" si="28"/>
        <v>0.24035925765311758</v>
      </c>
      <c r="K250" s="3">
        <v>37415927</v>
      </c>
      <c r="L250" s="3">
        <v>30013882</v>
      </c>
      <c r="M250" s="4">
        <f t="shared" si="29"/>
        <v>0.28390811931320148</v>
      </c>
    </row>
    <row r="251" spans="1:13" x14ac:dyDescent="0.2">
      <c r="A251" t="s">
        <v>196</v>
      </c>
      <c r="B251" t="s">
        <v>259</v>
      </c>
      <c r="C251" s="1" t="s">
        <v>258</v>
      </c>
      <c r="D251" s="2">
        <v>0</v>
      </c>
      <c r="E251" s="3">
        <v>77061</v>
      </c>
      <c r="F251" s="3">
        <v>62642</v>
      </c>
      <c r="G251" s="4">
        <v>0</v>
      </c>
      <c r="H251" s="8">
        <v>93584</v>
      </c>
      <c r="I251" s="2">
        <v>74017</v>
      </c>
      <c r="J251" s="6">
        <v>0</v>
      </c>
      <c r="K251" s="3">
        <v>93584</v>
      </c>
      <c r="L251" s="3">
        <v>74017</v>
      </c>
      <c r="M251" s="4">
        <v>0</v>
      </c>
    </row>
    <row r="252" spans="1:13" x14ac:dyDescent="0.2">
      <c r="A252" t="s">
        <v>254</v>
      </c>
      <c r="B252" t="s">
        <v>259</v>
      </c>
      <c r="C252" s="1" t="s">
        <v>231</v>
      </c>
      <c r="D252" s="2">
        <v>11744</v>
      </c>
      <c r="E252" s="3">
        <v>0</v>
      </c>
      <c r="F252" s="3">
        <v>0</v>
      </c>
      <c r="G252" s="7">
        <f>F252/D252</f>
        <v>0</v>
      </c>
      <c r="H252" s="8">
        <v>0</v>
      </c>
      <c r="I252" s="2">
        <v>0</v>
      </c>
      <c r="J252" s="6">
        <f>I252/D252</f>
        <v>0</v>
      </c>
      <c r="K252" s="3">
        <v>0</v>
      </c>
      <c r="L252" s="3">
        <v>0</v>
      </c>
      <c r="M252" s="4">
        <f>L252/D252</f>
        <v>0</v>
      </c>
    </row>
    <row r="253" spans="1:13" x14ac:dyDescent="0.2">
      <c r="A253" t="s">
        <v>255</v>
      </c>
      <c r="B253" t="s">
        <v>259</v>
      </c>
      <c r="C253" s="1" t="s">
        <v>260</v>
      </c>
      <c r="D253" s="2">
        <v>630936</v>
      </c>
      <c r="E253" s="3">
        <v>0</v>
      </c>
      <c r="F253" s="3">
        <v>0</v>
      </c>
      <c r="G253" s="7">
        <f>F253/D253</f>
        <v>0</v>
      </c>
      <c r="H253" s="8">
        <v>0</v>
      </c>
      <c r="I253" s="2">
        <v>0</v>
      </c>
      <c r="J253" s="6">
        <f>I253/D253</f>
        <v>0</v>
      </c>
      <c r="K253" s="3">
        <v>0</v>
      </c>
      <c r="L253" s="3">
        <v>0</v>
      </c>
      <c r="M253" s="4">
        <f>L253/D253</f>
        <v>0</v>
      </c>
    </row>
    <row r="254" spans="1:13" x14ac:dyDescent="0.2">
      <c r="A254" t="s">
        <v>256</v>
      </c>
      <c r="B254" t="s">
        <v>259</v>
      </c>
      <c r="C254" s="1" t="s">
        <v>260</v>
      </c>
      <c r="D254" s="2">
        <v>28665455</v>
      </c>
      <c r="E254" s="3">
        <v>0</v>
      </c>
      <c r="F254" s="3">
        <v>0</v>
      </c>
      <c r="G254" s="7">
        <f>F254/D254</f>
        <v>0</v>
      </c>
      <c r="H254" s="8">
        <v>0</v>
      </c>
      <c r="I254" s="2">
        <v>0</v>
      </c>
      <c r="J254" s="6">
        <f>I254/D254</f>
        <v>0</v>
      </c>
      <c r="K254" s="3">
        <v>0</v>
      </c>
      <c r="L254" s="3">
        <v>0</v>
      </c>
      <c r="M254" s="4">
        <f>L254/D254</f>
        <v>0</v>
      </c>
    </row>
    <row r="255" spans="1:13" x14ac:dyDescent="0.2">
      <c r="A255" t="s">
        <v>197</v>
      </c>
      <c r="B255" t="s">
        <v>259</v>
      </c>
      <c r="C255" s="1" t="s">
        <v>260</v>
      </c>
      <c r="D255" s="2">
        <v>16121282</v>
      </c>
      <c r="E255" s="3">
        <v>907104</v>
      </c>
      <c r="F255" s="3">
        <v>947548</v>
      </c>
      <c r="G255" s="7">
        <f>F255/D255</f>
        <v>5.8776218913607493E-2</v>
      </c>
      <c r="H255" s="8">
        <v>2441214</v>
      </c>
      <c r="I255" s="2">
        <v>3032262</v>
      </c>
      <c r="J255" s="6">
        <f>I255/D255</f>
        <v>0.18809062455454845</v>
      </c>
      <c r="K255" s="3">
        <v>3775010</v>
      </c>
      <c r="L255" s="3">
        <v>4869422</v>
      </c>
      <c r="M255" s="4">
        <f>L255/D255</f>
        <v>0.3020493035231317</v>
      </c>
    </row>
    <row r="256" spans="1:13" s="9" customFormat="1" x14ac:dyDescent="0.2">
      <c r="A256" t="s">
        <v>198</v>
      </c>
      <c r="B256" t="s">
        <v>259</v>
      </c>
      <c r="C256" s="1" t="s">
        <v>261</v>
      </c>
      <c r="D256" s="2">
        <v>14811493</v>
      </c>
      <c r="E256" s="3">
        <v>177788</v>
      </c>
      <c r="F256" s="3">
        <v>158037</v>
      </c>
      <c r="G256" s="7">
        <f>F256/D256</f>
        <v>1.0669889929394693E-2</v>
      </c>
      <c r="H256" s="8">
        <v>1214894</v>
      </c>
      <c r="I256" s="2">
        <v>1089532</v>
      </c>
      <c r="J256" s="6">
        <f>I256/D256</f>
        <v>7.3559903785526556E-2</v>
      </c>
      <c r="K256" s="3">
        <v>2862857</v>
      </c>
      <c r="L256" s="3">
        <v>2675130</v>
      </c>
      <c r="M256" s="4">
        <f>L256/D256</f>
        <v>0.18061177222309729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5A8D13CEE0464082D0355D33AD1A0D" ma:contentTypeVersion="10" ma:contentTypeDescription="Create a new document." ma:contentTypeScope="" ma:versionID="49d8705c6f044308da5e013e47639056">
  <xsd:schema xmlns:xsd="http://www.w3.org/2001/XMLSchema" xmlns:xs="http://www.w3.org/2001/XMLSchema" xmlns:p="http://schemas.microsoft.com/office/2006/metadata/properties" xmlns:ns3="8faa6e96-2d5b-4b28-8ebc-3e6bf7ad6e63" targetNamespace="http://schemas.microsoft.com/office/2006/metadata/properties" ma:root="true" ma:fieldsID="4fc86160458356b11430b6b5917f8a34" ns3:_="">
    <xsd:import namespace="8faa6e96-2d5b-4b28-8ebc-3e6bf7ad6e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a6e96-2d5b-4b28-8ebc-3e6bf7ad6e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4FE406-5C54-4128-99E3-6EF0BA5966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2FBB65-FE5E-4048-B29F-FAE43160A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a6e96-2d5b-4b28-8ebc-3e6bf7ad6e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627EF9-1D40-47F4-B41B-85CD576DD547}">
  <ds:schemaRefs>
    <ds:schemaRef ds:uri="http://purl.org/dc/elements/1.1/"/>
    <ds:schemaRef ds:uri="http://schemas.microsoft.com/office/2006/metadata/properties"/>
    <ds:schemaRef ds:uri="8faa6e96-2d5b-4b28-8ebc-3e6bf7ad6e63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No. of FPP per country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Charlotte Chang</cp:lastModifiedBy>
  <dcterms:created xsi:type="dcterms:W3CDTF">2015-08-14T13:51:56Z</dcterms:created>
  <dcterms:modified xsi:type="dcterms:W3CDTF">2026-04-28T21:41:48Z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0x0101007C5A8D13CEE0464082D0355D33AD1A0D</vt:lpwstr>
  </property>
</Properties>
</file>